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AD9180D6D7665C52/Documents/"/>
    </mc:Choice>
  </mc:AlternateContent>
  <xr:revisionPtr revIDLastSave="672" documentId="8_{B0490D99-49E4-409A-BA1B-6272865CD8BF}" xr6:coauthVersionLast="47" xr6:coauthVersionMax="47" xr10:uidLastSave="{7D57B22C-E2A7-4958-B2EF-280682B7B7B5}"/>
  <bookViews>
    <workbookView xWindow="-108" yWindow="-108" windowWidth="23256" windowHeight="12456" activeTab="5" xr2:uid="{BA952B4B-CB0F-42EB-BBD0-47047FEA645D}"/>
  </bookViews>
  <sheets>
    <sheet name="Pivot_tables" sheetId="1" r:id="rId1"/>
    <sheet name="Dashboard" sheetId="6" r:id="rId2"/>
    <sheet name="data1" sheetId="2" state="hidden" r:id="rId3"/>
    <sheet name="customer" sheetId="3" r:id="rId4"/>
    <sheet name="orders" sheetId="4" r:id="rId5"/>
    <sheet name="products" sheetId="5" r:id="rId6"/>
  </sheets>
  <definedNames>
    <definedName name="ExternalData_1" localSheetId="2" hidden="1">data1!$A$1:$F$4</definedName>
    <definedName name="ExternalData_2" localSheetId="3" hidden="1">'customer'!$A$1:$G$101</definedName>
    <definedName name="ExternalData_3" localSheetId="4" hidden="1">orders!$A$1:$Q$1001</definedName>
    <definedName name="ExternalData_4" localSheetId="5" hidden="1">products!$A$1:$E$71</definedName>
    <definedName name="Slicer_Occasion">#N/A</definedName>
    <definedName name="Timeline_Order_Date">#N/A</definedName>
  </definedNames>
  <calcPr calcId="191029"/>
  <pivotCaches>
    <pivotCache cacheId="74" r:id="rId7"/>
    <pivotCache cacheId="77" r:id="rId8"/>
    <pivotCache cacheId="80" r:id="rId9"/>
    <pivotCache cacheId="83" r:id="rId10"/>
    <pivotCache cacheId="86" r:id="rId11"/>
    <pivotCache cacheId="89" r:id="rId12"/>
    <pivotCache cacheId="9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1_05931d74-6d93-4eab-9143-d03e7ad0679c" name="data1" connection="Query - data1"/>
          <x15:modelTable id="customer_80dba444-6e85-4b1e-9925-3f4dc3bebdad" name="customer" connection="Query - customer"/>
          <x15:modelTable id="orders_3f1aeab7-c7f9-440b-94d3-c81c0df0db59" name="orders" connection="Query - orders"/>
          <x15:modelTable id="products_58c90c48-f21a-4598-b929-71947c2ea0ef"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D3B5B2-7400-49E0-837A-364E524BC8B0}" keepAlive="1" name="ModelConnection_ExternalData_1" description="Data Model" type="5" refreshedVersion="8" minRefreshableVersion="5" saveData="1">
    <dbPr connection="Data Model Connection" command="data1" commandType="3"/>
    <extLst>
      <ext xmlns:x15="http://schemas.microsoft.com/office/spreadsheetml/2010/11/main" uri="{DE250136-89BD-433C-8126-D09CA5730AF9}">
        <x15:connection id="" model="1"/>
      </ext>
    </extLst>
  </connection>
  <connection id="2" xr16:uid="{BA5E6A5F-E6F8-43FB-A7E7-B6F944B5A6B1}"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FE1B0527-3579-4A03-BF75-81C9DF9341A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F0DFB62-264E-460C-9D8D-394AC579FA8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0C77626-1540-4373-98C6-2B27D5E3A570}" name="Query - customer" description="Connection to the 'customer' query in the workbook." type="100" refreshedVersion="8" minRefreshableVersion="5">
    <extLst>
      <ext xmlns:x15="http://schemas.microsoft.com/office/spreadsheetml/2010/11/main" uri="{DE250136-89BD-433C-8126-D09CA5730AF9}">
        <x15:connection id="383f2c4e-a03a-440d-8bbe-ee833be88baa"/>
      </ext>
    </extLst>
  </connection>
  <connection id="6" xr16:uid="{191438E3-3508-4466-A236-9375CD1A887B}" name="Query - data1" description="Connection to the 'data1' query in the workbook." type="100" refreshedVersion="8" minRefreshableVersion="5">
    <extLst>
      <ext xmlns:x15="http://schemas.microsoft.com/office/spreadsheetml/2010/11/main" uri="{DE250136-89BD-433C-8126-D09CA5730AF9}">
        <x15:connection id="024c2140-8cf7-4672-878b-82bcfcb5bc64"/>
      </ext>
    </extLst>
  </connection>
  <connection id="7" xr16:uid="{4964B63B-F1E9-4F45-9036-2B315C6E5ACD}" name="Query - orders" description="Connection to the 'orders' query in the workbook." type="100" refreshedVersion="8" minRefreshableVersion="5">
    <extLst>
      <ext xmlns:x15="http://schemas.microsoft.com/office/spreadsheetml/2010/11/main" uri="{DE250136-89BD-433C-8126-D09CA5730AF9}">
        <x15:connection id="7729db10-5064-49da-baa0-91814d6dc924"/>
      </ext>
    </extLst>
  </connection>
  <connection id="8" xr16:uid="{A21A307F-AA2D-4629-A7CB-BE81D170F0CD}" name="Query - products" description="Connection to the 'products' query in the workbook." type="100" refreshedVersion="8" minRefreshableVersion="5">
    <extLst>
      <ext xmlns:x15="http://schemas.microsoft.com/office/spreadsheetml/2010/11/main" uri="{DE250136-89BD-433C-8126-D09CA5730AF9}">
        <x15:connection id="e7600f45-94a1-4185-8b45-1ba125d0b096"/>
      </ext>
    </extLst>
  </connection>
  <connection id="9" xr16:uid="{336E43CC-1ECE-4979-B133-9E2B33326E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<sst xmlns="http://schemas.openxmlformats.org/spreadsheetml/2006/main" count="6025" uniqueCount="956">
  <si>
    <t>Name</t>
  </si>
  <si>
    <t>Extension</t>
  </si>
  <si>
    <t>Date accessed</t>
  </si>
  <si>
    <t>Date modified</t>
  </si>
  <si>
    <t>Date created</t>
  </si>
  <si>
    <t>Folder Path</t>
  </si>
  <si>
    <t>customers.csv</t>
  </si>
  <si>
    <t>.csv</t>
  </si>
  <si>
    <t>D:\data1\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</si>
  <si>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</si>
  <si>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</si>
  <si>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</si>
  <si>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</si>
  <si>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</si>
  <si>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</si>
  <si>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</si>
  <si>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</si>
  <si>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</si>
  <si>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</si>
  <si>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</si>
  <si>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</si>
  <si>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</si>
  <si>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</si>
  <si>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</si>
  <si>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</si>
  <si>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</si>
  <si>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</si>
  <si>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</si>
  <si>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</si>
  <si>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</si>
  <si>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</si>
  <si>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</si>
  <si>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</si>
  <si>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</si>
  <si>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</si>
  <si>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</si>
  <si>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</si>
  <si>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</si>
  <si>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</si>
  <si>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</si>
  <si>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</si>
  <si>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</si>
  <si>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</si>
  <si>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</si>
  <si>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</si>
  <si>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</si>
  <si>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</si>
  <si>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</si>
  <si>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</si>
  <si>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</si>
  <si>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</si>
  <si>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</si>
  <si>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</si>
  <si>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</si>
  <si>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</si>
  <si>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</si>
  <si>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</si>
  <si>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</si>
  <si>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</si>
  <si>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</si>
  <si>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</si>
  <si>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</si>
  <si>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</si>
  <si>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</si>
  <si>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</si>
  <si>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</si>
  <si>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</si>
  <si>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</si>
  <si>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</si>
  <si>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</si>
  <si>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</si>
  <si>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</si>
  <si>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</si>
  <si>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</si>
  <si>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</si>
  <si>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</si>
  <si>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</si>
  <si>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</si>
  <si>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</si>
  <si>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</si>
  <si>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</si>
  <si>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</si>
  <si>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</si>
  <si>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</si>
  <si>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</si>
  <si>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</si>
  <si>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</si>
  <si>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</si>
  <si>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</si>
  <si>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</si>
  <si>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</si>
  <si>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</si>
  <si>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</si>
  <si>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</si>
  <si>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</si>
  <si>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</si>
  <si>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</si>
  <si>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</si>
  <si>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</si>
  <si>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</si>
  <si>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</si>
  <si>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</si>
  <si>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</si>
  <si>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</si>
  <si>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</si>
  <si>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</si>
  <si>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</si>
  <si>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</si>
  <si>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</si>
  <si>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</si>
  <si>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</si>
  <si>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</si>
  <si>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</si>
  <si>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</si>
  <si>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</si>
  <si>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</si>
  <si>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</si>
  <si>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</si>
  <si>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</si>
  <si>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</si>
  <si>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</si>
  <si>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</si>
  <si>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</si>
  <si>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</si>
  <si>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</si>
  <si>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</si>
  <si>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</si>
  <si>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</si>
  <si>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</si>
  <si>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</si>
  <si>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</si>
  <si>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</si>
  <si>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</si>
  <si>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</si>
  <si>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</si>
  <si>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</si>
  <si>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</si>
  <si>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</si>
  <si>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</si>
  <si>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</si>
  <si>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</si>
  <si>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</si>
  <si>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</si>
  <si>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</si>
  <si>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</si>
  <si>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</si>
  <si>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</si>
  <si>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</si>
  <si>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</si>
  <si>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</si>
  <si>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</si>
  <si>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</si>
  <si>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</si>
  <si>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</si>
  <si>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</si>
  <si>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</si>
  <si>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</si>
  <si>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</si>
  <si>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</si>
  <si>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</si>
  <si>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</si>
  <si>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</si>
  <si>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</si>
  <si>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</si>
  <si>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</si>
  <si>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</si>
  <si>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</si>
  <si>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</si>
  <si>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</si>
  <si>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</si>
  <si>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</si>
  <si>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</si>
  <si>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</si>
  <si>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</si>
  <si>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</si>
  <si>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</si>
  <si>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</si>
  <si>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</si>
  <si>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</si>
  <si>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</si>
  <si>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</si>
  <si>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</si>
  <si>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</si>
  <si>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</si>
  <si>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</si>
  <si>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</si>
  <si>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</si>
  <si>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</si>
  <si>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</si>
  <si>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</si>
  <si>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</si>
  <si>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</si>
  <si>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</si>
  <si>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</si>
  <si>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</si>
  <si>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</si>
  <si>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</si>
  <si>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</si>
  <si>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</si>
  <si>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</si>
  <si>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</si>
  <si>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</si>
  <si>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</si>
  <si>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</si>
  <si>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</si>
  <si>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</si>
  <si>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</si>
  <si>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</si>
  <si>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</si>
  <si>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</si>
  <si>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</si>
  <si>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</si>
  <si>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</si>
  <si>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</si>
  <si>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</si>
  <si>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</si>
  <si>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</si>
  <si>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</si>
  <si>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</si>
  <si>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</si>
  <si>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</si>
  <si>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</si>
  <si>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</si>
  <si>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</si>
  <si>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</si>
  <si>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</si>
  <si>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</si>
  <si>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</si>
  <si>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</si>
  <si>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</si>
  <si>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</si>
  <si>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</si>
  <si>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</si>
  <si>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</si>
  <si>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</si>
  <si>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</si>
  <si>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</si>
  <si>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</si>
  <si>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</si>
  <si>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</si>
  <si>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</si>
  <si>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</si>
  <si>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</si>
  <si>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</si>
  <si>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</si>
  <si>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</si>
  <si>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</si>
  <si>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</si>
  <si>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</si>
  <si>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</si>
  <si>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</si>
  <si>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</si>
  <si>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</si>
  <si>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</si>
  <si>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</si>
  <si>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</si>
  <si>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</si>
  <si>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</si>
  <si>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</si>
  <si>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</si>
  <si>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</si>
  <si>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</si>
  <si>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</si>
  <si>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</si>
  <si>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</si>
  <si>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</si>
  <si>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</si>
  <si>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</si>
  <si>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</si>
  <si>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</si>
  <si>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</si>
  <si>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</si>
  <si>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</si>
  <si>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</si>
  <si>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</si>
  <si>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</si>
  <si>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</si>
  <si>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</si>
  <si>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</si>
  <si>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</si>
  <si>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</si>
  <si>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</si>
  <si>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</si>
  <si>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</si>
  <si>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</si>
  <si>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</si>
  <si>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</si>
  <si>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</si>
  <si>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</si>
  <si>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</si>
  <si>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</si>
  <si>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</si>
  <si>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</si>
  <si>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</si>
  <si>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</si>
  <si>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</si>
  <si>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</si>
  <si>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</si>
  <si>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</si>
  <si>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</si>
  <si>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</si>
  <si>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</si>
  <si>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</si>
  <si>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</si>
  <si>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</si>
  <si>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</si>
  <si>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</si>
  <si>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</si>
  <si>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</si>
  <si>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</si>
  <si>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</si>
  <si>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</si>
  <si>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</si>
  <si>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</si>
  <si>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</si>
  <si>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</si>
  <si>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</si>
  <si>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</si>
  <si>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</si>
  <si>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</si>
  <si>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</si>
  <si>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</si>
  <si>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</si>
  <si>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</si>
  <si>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</si>
  <si>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</si>
  <si>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</si>
  <si>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</si>
  <si>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</si>
  <si>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</si>
  <si>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</si>
  <si>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</si>
  <si>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</si>
  <si>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</si>
  <si>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</si>
  <si>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</si>
  <si>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</si>
  <si>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</si>
  <si>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</si>
  <si>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</si>
  <si>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</si>
  <si>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</si>
  <si>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</si>
  <si>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</si>
  <si>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</si>
  <si>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</si>
  <si>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</si>
  <si>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</si>
  <si>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</si>
  <si>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</si>
  <si>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</si>
  <si>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</si>
  <si>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</si>
  <si>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</si>
  <si>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</si>
  <si>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</si>
  <si>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</si>
  <si>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</si>
  <si>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</si>
  <si>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</si>
  <si>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</si>
  <si>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</si>
  <si>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</si>
  <si>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</si>
  <si>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</si>
  <si>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</si>
  <si>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</si>
  <si>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</si>
  <si>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</si>
  <si>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</si>
  <si>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</si>
  <si>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</si>
  <si>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</si>
  <si>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</si>
  <si>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</si>
  <si>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</si>
  <si>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</si>
  <si>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</si>
  <si>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</si>
  <si>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</si>
  <si>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</si>
  <si>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</si>
  <si>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</si>
  <si>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</si>
  <si>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</si>
  <si>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</si>
  <si>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</si>
  <si>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</si>
  <si>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</si>
  <si>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</si>
  <si>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</si>
  <si>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</si>
  <si>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</si>
  <si>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</si>
  <si>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</si>
  <si>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</si>
  <si>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</si>
  <si>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</si>
  <si>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</si>
  <si>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</si>
  <si>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</si>
  <si>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</si>
  <si>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</si>
  <si>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</si>
  <si>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</si>
  <si>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</si>
  <si>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</si>
  <si>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</si>
  <si>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</si>
  <si>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</si>
  <si>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</si>
  <si>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</si>
  <si>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</si>
  <si>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</si>
  <si>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</si>
  <si>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</si>
  <si>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</si>
  <si>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</si>
  <si>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</si>
  <si>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</si>
  <si>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</si>
  <si>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</si>
  <si>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</si>
  <si>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</si>
  <si>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</si>
  <si>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</si>
  <si>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</si>
  <si>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</si>
  <si>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</si>
  <si>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</si>
  <si>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</si>
  <si>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</si>
  <si>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</si>
  <si>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</si>
  <si>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</si>
  <si>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</si>
  <si>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</si>
  <si>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</si>
  <si>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</si>
  <si>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</si>
  <si>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</si>
  <si>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</si>
  <si>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</si>
  <si>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</si>
  <si>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</si>
  <si>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</si>
  <si>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</si>
  <si>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</si>
  <si>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</si>
  <si>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</si>
  <si>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</si>
  <si>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</si>
  <si>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</si>
  <si>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</si>
  <si>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</si>
  <si>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</si>
  <si>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</si>
  <si>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</si>
  <si>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</si>
  <si>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</si>
  <si>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</si>
  <si>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</si>
  <si>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</si>
  <si>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</si>
  <si>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</si>
  <si>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</si>
  <si>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</si>
  <si>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</si>
  <si>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</si>
  <si>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</si>
  <si>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</si>
  <si>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</si>
  <si>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</si>
  <si>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</si>
  <si>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</si>
  <si>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</si>
  <si>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</si>
  <si>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</si>
  <si>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</si>
  <si>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</si>
  <si>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</si>
  <si>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</si>
  <si>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</si>
  <si>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</si>
  <si>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</si>
  <si>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</si>
  <si>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</si>
  <si>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</si>
  <si>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</si>
  <si>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</si>
  <si>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</si>
  <si>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</si>
  <si>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</si>
  <si>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</si>
  <si>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</si>
  <si>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</si>
  <si>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</si>
  <si>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</si>
  <si>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</si>
  <si>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</si>
  <si>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</si>
  <si>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</si>
  <si>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</si>
  <si>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</si>
  <si>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</si>
  <si>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</si>
  <si>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</si>
  <si>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</si>
  <si>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</si>
  <si>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</si>
  <si>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</si>
  <si>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</si>
  <si>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</si>
  <si>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</si>
  <si>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</si>
  <si>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</si>
  <si>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</si>
  <si>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</si>
  <si>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</si>
  <si>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</si>
  <si>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</si>
  <si>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</si>
  <si>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</si>
  <si>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</si>
  <si>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</si>
  <si>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</si>
  <si>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</si>
  <si>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</si>
  <si>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</si>
  <si>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</si>
  <si>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</si>
  <si>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</si>
  <si>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</si>
  <si>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</si>
  <si>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</si>
  <si>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</si>
  <si>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</si>
  <si>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</si>
  <si>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</si>
  <si>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</si>
  <si>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</si>
  <si>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</si>
  <si>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</si>
  <si>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</si>
  <si>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</si>
  <si>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</si>
  <si>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</si>
  <si>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</si>
  <si>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</si>
  <si>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</si>
  <si>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</si>
  <si>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</si>
  <si>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</si>
  <si>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</si>
  <si>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</si>
  <si>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</si>
  <si>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</si>
  <si>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</si>
  <si>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</si>
  <si>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</si>
  <si>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</si>
  <si>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</si>
  <si>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</si>
  <si>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</si>
  <si>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</si>
  <si>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</si>
  <si>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</si>
  <si>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</si>
  <si>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</si>
  <si>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</si>
  <si>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</si>
  <si>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</si>
  <si>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</si>
  <si>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</si>
  <si>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</si>
  <si>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</si>
  <si>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</si>
  <si>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</si>
  <si>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</si>
  <si>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</si>
  <si>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</si>
  <si>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</si>
  <si>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</si>
  <si>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</si>
  <si>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</si>
  <si>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</si>
  <si>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</si>
  <si>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</si>
  <si>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</si>
  <si>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</si>
  <si>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</si>
  <si>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</si>
  <si>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</si>
  <si>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</si>
  <si>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</si>
  <si>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</si>
  <si>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</si>
  <si>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</si>
  <si>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</si>
  <si>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</si>
  <si>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</si>
  <si>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</si>
  <si>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</si>
  <si>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</si>
  <si>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</si>
  <si>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</si>
  <si>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</si>
  <si>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</si>
  <si>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</si>
  <si>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</si>
  <si>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</si>
  <si>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</si>
  <si>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</si>
  <si>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</si>
  <si>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</si>
  <si>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</si>
  <si>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diff(del-ord)</t>
  </si>
  <si>
    <t>Hour(del_time)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</si>
  <si>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</si>
  <si>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</si>
  <si>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</si>
  <si>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</si>
  <si>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</si>
  <si>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</si>
  <si>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</si>
  <si>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</si>
  <si>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</si>
  <si>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</si>
  <si>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</si>
  <si>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</si>
  <si>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</si>
  <si>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</si>
  <si>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</si>
  <si>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</si>
  <si>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</si>
  <si>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</si>
  <si>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</si>
  <si>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</si>
  <si>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</si>
  <si>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</si>
  <si>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</si>
  <si>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</si>
  <si>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</si>
  <si>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</si>
  <si>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</si>
  <si>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</si>
  <si>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</si>
  <si>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</si>
  <si>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</si>
  <si>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</si>
  <si>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</si>
  <si>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</si>
  <si>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</si>
  <si>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</si>
  <si>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</si>
  <si>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</si>
  <si>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</si>
  <si>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</si>
  <si>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</si>
  <si>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</si>
  <si>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</si>
  <si>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</si>
  <si>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</si>
  <si>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</si>
  <si>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</si>
  <si>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</si>
  <si>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</si>
  <si>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</si>
  <si>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</si>
  <si>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</si>
  <si>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</si>
  <si>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</si>
  <si>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</si>
  <si>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</si>
  <si>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</si>
  <si>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</si>
  <si>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</si>
  <si>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</si>
  <si>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</si>
  <si>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</si>
  <si>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</si>
  <si>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</si>
  <si>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</si>
  <si>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</si>
  <si>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</si>
  <si>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</si>
  <si>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</si>
  <si>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</si>
  <si>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</si>
  <si>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</si>
  <si>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</si>
  <si>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</si>
  <si>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</si>
  <si>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</si>
  <si>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</si>
  <si>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</si>
  <si>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</si>
  <si>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</si>
  <si>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</si>
  <si>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</si>
  <si>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</si>
  <si>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</si>
  <si>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</si>
  <si>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</si>
  <si>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</si>
  <si>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</si>
  <si>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</si>
  <si>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</si>
  <si>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</si>
  <si>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</si>
  <si>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</si>
  <si>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</si>
  <si>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</si>
  <si>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</si>
  <si>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</si>
  <si>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</si>
  <si>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</si>
  <si>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</si>
  <si>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</si>
  <si>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</si>
  <si>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</si>
  <si>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</si>
  <si>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</si>
  <si>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</si>
  <si>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</si>
  <si>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</si>
  <si>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</si>
  <si>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</si>
  <si>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</si>
  <si>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</si>
  <si>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</si>
  <si>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</si>
  <si>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</si>
  <si>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</si>
  <si>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</si>
  <si>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</si>
  <si>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</si>
  <si>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</si>
  <si>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</si>
  <si>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</si>
  <si>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</si>
  <si>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</si>
  <si>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</si>
  <si>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</si>
  <si>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</si>
  <si>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</si>
  <si>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</si>
  <si>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</si>
  <si>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</si>
  <si>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</si>
  <si>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</si>
  <si>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</si>
  <si>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</si>
  <si>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</si>
  <si>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</si>
  <si>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</si>
  <si>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</si>
  <si>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</si>
  <si>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</si>
  <si>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</si>
  <si>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</si>
  <si>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</si>
  <si>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</si>
  <si>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</si>
  <si>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</si>
  <si>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</si>
  <si>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</si>
  <si>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</si>
  <si>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</si>
  <si>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</si>
  <si>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</si>
  <si>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</si>
  <si>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</si>
  <si>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</si>
  <si>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</si>
  <si>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</si>
  <si>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</si>
  <si>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</si>
  <si>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</si>
  <si>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</si>
  <si>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</si>
  <si>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</si>
  <si>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</si>
  <si>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</si>
  <si>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</si>
  <si>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</si>
  <si>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</si>
  <si>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</si>
  <si>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</si>
  <si>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</si>
  <si>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</si>
  <si>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</si>
  <si>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</si>
  <si>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</si>
  <si>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</si>
  <si>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</si>
  <si>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</si>
  <si>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</si>
  <si>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</si>
  <si>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</si>
  <si>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</si>
  <si>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</si>
  <si>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</si>
  <si>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</si>
  <si>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</si>
  <si>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</si>
  <si>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</si>
  <si>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</si>
  <si>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</si>
  <si>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</si>
  <si>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</si>
  <si>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</si>
  <si>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</si>
  <si>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</si>
  <si>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</si>
  <si>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</si>
  <si>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</si>
  <si>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</si>
  <si>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</si>
  <si>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</si>
  <si>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</si>
  <si>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</si>
  <si>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</si>
  <si>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</si>
  <si>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</si>
  <si>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</si>
  <si>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</si>
  <si>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</si>
  <si>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</si>
  <si>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</si>
  <si>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</si>
  <si>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</si>
  <si>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</si>
  <si>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</si>
  <si>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</si>
  <si>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</si>
  <si>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</si>
  <si>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</si>
  <si>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</si>
  <si>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</si>
  <si>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</si>
  <si>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</si>
  <si>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</si>
  <si>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</si>
  <si>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</si>
  <si>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</si>
  <si>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</si>
  <si>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</si>
  <si>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</si>
  <si>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</si>
  <si>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</si>
  <si>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</si>
  <si>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</si>
  <si>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</si>
  <si>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</si>
  <si>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</si>
  <si>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</si>
  <si>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</si>
  <si>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</si>
  <si>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</si>
  <si>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</si>
  <si>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</si>
  <si>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</si>
  <si>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</si>
  <si>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</si>
  <si>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</si>
  <si>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</si>
  <si>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</si>
  <si>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</si>
  <si>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</si>
  <si>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</si>
  <si>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</si>
  <si>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</si>
  <si>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</si>
  <si>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</si>
  <si>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</si>
  <si>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</si>
  <si>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</si>
  <si>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</si>
  <si>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</si>
  <si>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</si>
  <si>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</si>
  <si>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</si>
  <si>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</si>
  <si>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</si>
  <si>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</si>
  <si>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</si>
  <si>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</si>
  <si>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</si>
  <si>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</si>
  <si>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</si>
  <si>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</si>
  <si>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</si>
  <si>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</si>
  <si>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</si>
  <si>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</si>
  <si>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</si>
  <si>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</si>
  <si>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</si>
  <si>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</si>
  <si>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</si>
  <si>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</si>
  <si>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</si>
  <si>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</si>
  <si>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</si>
  <si>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</si>
  <si>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</si>
  <si>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</si>
  <si>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</si>
  <si>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</si>
  <si>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</si>
  <si>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</si>
  <si>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</si>
  <si>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</si>
  <si>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</si>
  <si>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</si>
  <si>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</si>
  <si>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</si>
  <si>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</si>
  <si>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</si>
  <si>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</si>
  <si>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</si>
  <si>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</si>
  <si>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</si>
  <si>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</si>
  <si>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</si>
  <si>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</si>
  <si>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</si>
  <si>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</si>
  <si>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</si>
  <si>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</si>
  <si>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</si>
  <si>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</si>
  <si>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</si>
  <si>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ordered day</t>
  </si>
  <si>
    <t>Saturday</t>
  </si>
  <si>
    <t>Wednesday</t>
  </si>
  <si>
    <t>Friday</t>
  </si>
  <si>
    <t>Sunday</t>
  </si>
  <si>
    <t>Monday</t>
  </si>
  <si>
    <t>Tuesday</t>
  </si>
  <si>
    <t>Thursday</t>
  </si>
  <si>
    <t>Row Labels</t>
  </si>
  <si>
    <t>Grand Total</t>
  </si>
  <si>
    <t>Sum of revenue</t>
  </si>
  <si>
    <t>Average of diff(del-ord)</t>
  </si>
  <si>
    <t>Average of Customer spending</t>
  </si>
  <si>
    <t>Count of Order_ID</t>
  </si>
  <si>
    <t>KPI's</t>
  </si>
  <si>
    <t>corelation</t>
  </si>
  <si>
    <t xml:space="preserve">Top 5 Products by Revenue  </t>
  </si>
  <si>
    <t>Top 10 cities with highest Order</t>
  </si>
  <si>
    <t>Revenue by Category</t>
  </si>
  <si>
    <t>Revenue by Hour</t>
  </si>
  <si>
    <t>Revenue by Month</t>
  </si>
  <si>
    <t>Revene by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</si>
</sst>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xf numFmtId="0" fontId="0" fillId="3" borderId="0" xfId="0" applyFill="1"/>
    <xf numFmtId="0" fontId="0" fillId="3" borderId="0" xfId="0" applyFill="1" applyAlignment="1">
      <alignment horizontal="center"/>
    </xf>
    <xf numFmtId="0" fontId="2" fillId="3" borderId="0" xfId="0" applyFont="1" applyFill="1" applyAlignment="1">
      <alignment horizont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2.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tyles" Target="style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on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Pivot_tables!$E$22</c:f>
              <c:strCache>
                <c:ptCount val="1"/>
                <c:pt idx="0">
                  <c:v>Total</c:v>
                </c:pt>
              </c:strCache>
            </c:strRef>
          </c:tx>
          <c:spPr>
            <a:solidFill>
              <a:schemeClr val="accent1"/>
            </a:solidFill>
            <a:ln>
              <a:noFill/>
            </a:ln>
            <a:effectLst/>
          </c:spPr>
          <c:invertIfNegative val="0"/>
          <c:cat>
            <c:strRef>
              <c:f>Pivot_tables!$D$23:$D$30</c:f>
              <c:strCache>
                <c:ptCount val="7"/>
                <c:pt idx="0">
                  <c:v>Cake</c:v>
                </c:pt>
                <c:pt idx="1">
                  <c:v>Colors</c:v>
                </c:pt>
                <c:pt idx="2">
                  <c:v>Mugs</c:v>
                </c:pt>
                <c:pt idx="3">
                  <c:v>Plants</c:v>
                </c:pt>
                <c:pt idx="4">
                  <c:v>Raksha Bandhan</c:v>
                </c:pt>
                <c:pt idx="5">
                  <c:v>Soft Toys</c:v>
                </c:pt>
                <c:pt idx="6">
                  <c:v>Sweets</c:v>
                </c:pt>
              </c:strCache>
            </c:strRef>
          </c:cat>
          <c:val>
            <c:numRef>
              <c:f>Pivot_tables!$E$23:$E$30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17D-4FEB-BFF8-614E676A1809}"/>
            </c:ext>
          </c:extLst>
        </c:ser>
        <c:dLbls>
          <c:showLegendKey val="0"/>
          <c:showVal val="0"/>
          <c:showCatName val="0"/>
          <c:showSerName val="0"/>
          <c:showPercent val="0"/>
          <c:showBubbleSize val="0"/>
        </c:dLbls>
        <c:gapWidth val="219"/>
        <c:overlap val="-27"/>
        <c:axId val="1390591199"/>
        <c:axId val="1390586879"/>
      </c:barChart>
      <c:catAx>
        <c:axId val="13905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86879"/>
        <c:crosses val="autoZero"/>
        <c:auto val="1"/>
        <c:lblAlgn val="ctr"/>
        <c:lblOffset val="100"/>
        <c:noMultiLvlLbl val="0"/>
      </c:catAx>
      <c:valAx>
        <c:axId val="139058687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on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45603674540681"/>
          <c:y val="0.17986942870783657"/>
          <c:w val="0.78976618547681543"/>
          <c:h val="0.52910004119859655"/>
        </c:manualLayout>
      </c:layout>
      <c:barChart>
        <c:barDir val="col"/>
        <c:grouping val="clustered"/>
        <c:varyColors val="0"/>
        <c:ser>
          <c:idx val="0"/>
          <c:order val="0"/>
          <c:tx>
            <c:strRef>
              <c:f>Pivot_tables!$E$10</c:f>
              <c:strCache>
                <c:ptCount val="1"/>
                <c:pt idx="0">
                  <c:v>Total</c:v>
                </c:pt>
              </c:strCache>
            </c:strRef>
          </c:tx>
          <c:spPr>
            <a:solidFill>
              <a:schemeClr val="accent1"/>
            </a:solidFill>
            <a:ln>
              <a:noFill/>
            </a:ln>
            <a:effectLst/>
          </c:spPr>
          <c:invertIfNegative val="0"/>
          <c:cat>
            <c:strRef>
              <c:f>Pivot_tables!$D$11:$D$18</c:f>
              <c:strCache>
                <c:ptCount val="7"/>
                <c:pt idx="0">
                  <c:v>All Occasions</c:v>
                </c:pt>
                <c:pt idx="1">
                  <c:v>Anniversary</c:v>
                </c:pt>
                <c:pt idx="2">
                  <c:v>Birthday</c:v>
                </c:pt>
                <c:pt idx="3">
                  <c:v>Diwali</c:v>
                </c:pt>
                <c:pt idx="4">
                  <c:v>Holi</c:v>
                </c:pt>
                <c:pt idx="5">
                  <c:v>Raksha Bandhan</c:v>
                </c:pt>
                <c:pt idx="6">
                  <c:v>Valentine's Day</c:v>
                </c:pt>
              </c:strCache>
            </c:strRef>
          </c:cat>
          <c:val>
            <c:numRef>
              <c:f>Pivot_tables!$E$11:$E$18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A7F9-44BC-A291-313998102842}"/>
            </c:ext>
          </c:extLst>
        </c:ser>
        <c:dLbls>
          <c:showLegendKey val="0"/>
          <c:showVal val="0"/>
          <c:showCatName val="0"/>
          <c:showSerName val="0"/>
          <c:showPercent val="0"/>
          <c:showBubbleSize val="0"/>
        </c:dLbls>
        <c:gapWidth val="219"/>
        <c:overlap val="-27"/>
        <c:axId val="1313675311"/>
        <c:axId val="1313662351"/>
      </c:barChart>
      <c:catAx>
        <c:axId val="13136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62351"/>
        <c:crosses val="autoZero"/>
        <c:auto val="1"/>
        <c:lblAlgn val="ctr"/>
        <c:lblOffset val="100"/>
        <c:noMultiLvlLbl val="0"/>
      </c:catAx>
      <c:valAx>
        <c:axId val="13136623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7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on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Pivot_tables!$L$10</c:f>
              <c:strCache>
                <c:ptCount val="1"/>
                <c:pt idx="0">
                  <c:v>Total</c:v>
                </c:pt>
              </c:strCache>
            </c:strRef>
          </c:tx>
          <c:spPr>
            <a:ln w="28575" cap="rnd">
              <a:solidFill>
                <a:schemeClr val="accent1"/>
              </a:solidFill>
              <a:round/>
            </a:ln>
            <a:effectLst/>
          </c:spPr>
          <c:marker>
            <c:symbol val="none"/>
          </c:marker>
          <c:cat>
            <c:strRef>
              <c:f>Pivot_tables!$K$11:$K$23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Pivot_tables!$L$11:$L$23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C6-4DC3-ACD4-C1304E3FD6CC}"/>
            </c:ext>
          </c:extLst>
        </c:ser>
        <c:dLbls>
          <c:showLegendKey val="0"/>
          <c:showVal val="0"/>
          <c:showCatName val="0"/>
          <c:showSerName val="0"/>
          <c:showPercent val="0"/>
          <c:showBubbleSize val="0"/>
        </c:dLbls>
        <c:smooth val="0"/>
        <c:axId val="1388939535"/>
        <c:axId val="1388926095"/>
      </c:lineChart>
      <c:catAx>
        <c:axId val="138893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926095"/>
        <c:crosses val="autoZero"/>
        <c:auto val="1"/>
        <c:lblAlgn val="ctr"/>
        <c:lblOffset val="100"/>
        <c:noMultiLvlLbl val="0"/>
      </c:catAx>
      <c:valAx>
        <c:axId val="138892609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93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with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7772180766175"/>
          <c:y val="0.10277095101440201"/>
          <c:w val="0.79992552274064654"/>
          <c:h val="0.78991681028250038"/>
        </c:manualLayout>
      </c:layout>
      <c:barChart>
        <c:barDir val="col"/>
        <c:grouping val="clustered"/>
        <c:varyColors val="0"/>
        <c:ser>
          <c:idx val="0"/>
          <c:order val="0"/>
          <c:tx>
            <c:strRef>
              <c:f>Pivot_tables!$B$10</c:f>
              <c:strCache>
                <c:ptCount val="1"/>
                <c:pt idx="0">
                  <c:v>Total</c:v>
                </c:pt>
              </c:strCache>
            </c:strRef>
          </c:tx>
          <c:spPr>
            <a:solidFill>
              <a:schemeClr val="accent1"/>
            </a:solidFill>
            <a:ln>
              <a:noFill/>
            </a:ln>
            <a:effectLst/>
          </c:spPr>
          <c:invertIfNegative val="0"/>
          <c:cat>
            <c:strRef>
              <c:f>Pivot_tables!$A$11:$A$16</c:f>
              <c:strCache>
                <c:ptCount val="5"/>
                <c:pt idx="0">
                  <c:v>Deserunt Box</c:v>
                </c:pt>
                <c:pt idx="1">
                  <c:v>Dolores Gift</c:v>
                </c:pt>
                <c:pt idx="2">
                  <c:v>Harum Pack</c:v>
                </c:pt>
                <c:pt idx="3">
                  <c:v>Magnam Set</c:v>
                </c:pt>
                <c:pt idx="4">
                  <c:v>Quia Gift</c:v>
                </c:pt>
              </c:strCache>
            </c:strRef>
          </c:cat>
          <c:val>
            <c:numRef>
              <c:f>Pivot_tables!$B$11:$B$16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B56-44FC-9081-78F000A90AC1}"/>
            </c:ext>
          </c:extLst>
        </c:ser>
        <c:dLbls>
          <c:showLegendKey val="0"/>
          <c:showVal val="0"/>
          <c:showCatName val="0"/>
          <c:showSerName val="0"/>
          <c:showPercent val="0"/>
          <c:showBubbleSize val="0"/>
        </c:dLbls>
        <c:gapWidth val="219"/>
        <c:overlap val="-27"/>
        <c:axId val="456629903"/>
        <c:axId val="1554895487"/>
      </c:barChart>
      <c:catAx>
        <c:axId val="4566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95487"/>
        <c:crosses val="autoZero"/>
        <c:auto val="1"/>
        <c:lblAlgn val="ctr"/>
        <c:lblOffset val="100"/>
        <c:noMultiLvlLbl val="0"/>
      </c:catAx>
      <c:valAx>
        <c:axId val="155489548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62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with Highest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189107507603E-2"/>
          <c:y val="0.12795384085896727"/>
          <c:w val="0.91042502067892217"/>
          <c:h val="0.66265536755392251"/>
        </c:manualLayout>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Pivot_tables!$B$23:$B$33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35D-4910-8067-CC7FC3045D45}"/>
            </c:ext>
          </c:extLst>
        </c:ser>
        <c:dLbls>
          <c:showLegendKey val="0"/>
          <c:showVal val="0"/>
          <c:showCatName val="0"/>
          <c:showSerName val="0"/>
          <c:showPercent val="0"/>
          <c:showBubbleSize val="0"/>
        </c:dLbls>
        <c:gapWidth val="219"/>
        <c:overlap val="-27"/>
        <c:axId val="1374140191"/>
        <c:axId val="1374138751"/>
      </c:barChart>
      <c:catAx>
        <c:axId val="137414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38751"/>
        <c:crosses val="autoZero"/>
        <c:auto val="1"/>
        <c:lblAlgn val="ctr"/>
        <c:lblOffset val="100"/>
        <c:noMultiLvlLbl val="0"/>
      </c:catAx>
      <c:valAx>
        <c:axId val="137413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4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[ferns-n-petals.xlsx]Pivot_tables!PivotTable7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with Hours(Order_Date)</a:t>
            </a:r>
            <a:endParaRPr lang="en-US"/>
          </a:p>
        </c:rich>
      </c:tx>
      <c:layout>
        <c:manualLayout>
          <c:xMode val="edge"/>
          <c:yMode val="edge"/>
          <c:x val="0.23560936140689898"/>
          <c:y val="2.833333085447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Pivot_tables!$I$10</c:f>
              <c:strCache>
                <c:ptCount val="1"/>
                <c:pt idx="0">
                  <c:v>Total</c:v>
                </c:pt>
              </c:strCache>
            </c:strRef>
          </c:tx>
          <c:spPr>
            <a:ln w="28575" cap="rnd">
              <a:solidFill>
                <a:schemeClr val="accent1"/>
              </a:solidFill>
              <a:round/>
            </a:ln>
            <a:effectLst/>
          </c:spPr>
          <c:marker>
            <c:symbol val="none"/>
          </c:marker>
          <c:cat>
            <c:strRef>
              <c:f>Pivot_tables!$H$11:$H$35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Pivot_tables!$I$11:$I$35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593E-4620-9489-14C8AEAE695C}"/>
            </c:ext>
          </c:extLst>
        </c:ser>
        <c:dLbls>
          <c:showLegendKey val="0"/>
          <c:showVal val="0"/>
          <c:showCatName val="0"/>
          <c:showSerName val="0"/>
          <c:showPercent val="0"/>
          <c:showBubbleSize val="0"/>
        </c:dLbls>
        <c:smooth val="0"/>
        <c:axId val="1476027279"/>
        <c:axId val="1476027759"/>
      </c:lineChart>
      <c:catAx>
        <c:axId val="14760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27759"/>
        <c:crosses val="autoZero"/>
        <c:auto val="1"/>
        <c:lblAlgn val="ctr"/>
        <c:lblOffset val="100"/>
        <c:tickLblSkip val="2"/>
        <c:noMultiLvlLbl val="0"/>
      </c:catAx>
      <c:valAx>
        <c:axId val="147602775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2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172710</xdr:colOff>
      <xdr:row>6</xdr:row>
      <xdr:rowOff>175365</xdr:rowOff>
    </xdr:from>
    <xdr:to>
      <xdr:col>8</xdr:col>
      <xdr:colOff>158337</xdr:colOff>
      <xdr:row>25</xdr:row>
      <xdr:rowOff>29688</xdr:rowOff>
    </xdr:to>
    <xdr:graphicFrame macro="">
      <xdr:nvGraphicFramePr>
        <xdr:cNvPr id="2" name="Chart 1">
          <a:extLst>
            <a:ext uri="{FF2B5EF4-FFF2-40B4-BE49-F238E27FC236}">
              <a16:creationId xmlns:a16="http://schemas.microsoft.com/office/drawing/2014/main" id="{0EBA3931-11EB-447B-890B-628680837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277089</xdr:colOff>
      <xdr:row>7</xdr:row>
      <xdr:rowOff>0</xdr:rowOff>
    </xdr:from>
    <xdr:to>
      <xdr:col>16</xdr:col>
      <xdr:colOff>188025</xdr:colOff>
      <xdr:row>25</xdr:row>
      <xdr:rowOff>19792</xdr:rowOff>
    </xdr:to>
    <xdr:graphicFrame macro="">
      <xdr:nvGraphicFramePr>
        <xdr:cNvPr id="3" name="Chart 2">
          <a:extLst>
            <a:ext uri="{FF2B5EF4-FFF2-40B4-BE49-F238E27FC236}">
              <a16:creationId xmlns:a16="http://schemas.microsoft.com/office/drawing/2014/main" id="{01069C69-128E-40BB-99F7-1541F14C0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136712</xdr:colOff>
      <xdr:row>25</xdr:row>
      <xdr:rowOff>108857</xdr:rowOff>
    </xdr:from>
    <xdr:to>
      <xdr:col>8</xdr:col>
      <xdr:colOff>158337</xdr:colOff>
      <xdr:row>46</xdr:row>
      <xdr:rowOff>9896</xdr:rowOff>
    </xdr:to>
    <xdr:graphicFrame macro="">
      <xdr:nvGraphicFramePr>
        <xdr:cNvPr id="4" name="Chart 3">
          <a:extLst>
            <a:ext uri="{FF2B5EF4-FFF2-40B4-BE49-F238E27FC236}">
              <a16:creationId xmlns:a16="http://schemas.microsoft.com/office/drawing/2014/main" id="{EBE045B7-66EA-4F3A-9ED9-D5096C2DA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267193</xdr:colOff>
      <xdr:row>25</xdr:row>
      <xdr:rowOff>96167</xdr:rowOff>
    </xdr:from>
    <xdr:to>
      <xdr:col>16</xdr:col>
      <xdr:colOff>197921</xdr:colOff>
      <xdr:row>46</xdr:row>
      <xdr:rowOff>1</xdr:rowOff>
    </xdr:to>
    <xdr:graphicFrame macro="">
      <xdr:nvGraphicFramePr>
        <xdr:cNvPr id="5" name="Chart 4">
          <a:extLst>
            <a:ext uri="{FF2B5EF4-FFF2-40B4-BE49-F238E27FC236}">
              <a16:creationId xmlns:a16="http://schemas.microsoft.com/office/drawing/2014/main" id="{E3F03CD1-5F1E-497E-818E-73EAD4616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336468</xdr:colOff>
      <xdr:row>25</xdr:row>
      <xdr:rowOff>69272</xdr:rowOff>
    </xdr:from>
    <xdr:to>
      <xdr:col>24</xdr:col>
      <xdr:colOff>257297</xdr:colOff>
      <xdr:row>46</xdr:row>
      <xdr:rowOff>9896</xdr:rowOff>
    </xdr:to>
    <xdr:graphicFrame macro="">
      <xdr:nvGraphicFramePr>
        <xdr:cNvPr id="6" name="Chart 5">
          <a:extLst>
            <a:ext uri="{FF2B5EF4-FFF2-40B4-BE49-F238E27FC236}">
              <a16:creationId xmlns:a16="http://schemas.microsoft.com/office/drawing/2014/main" id="{734A6ADE-FEEE-4FA9-BF50-2D0510436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304800</xdr:colOff>
      <xdr:row>6</xdr:row>
      <xdr:rowOff>147126</xdr:rowOff>
    </xdr:from>
    <xdr:to>
      <xdr:col>24</xdr:col>
      <xdr:colOff>267195</xdr:colOff>
      <xdr:row>25</xdr:row>
      <xdr:rowOff>0</xdr:rowOff>
    </xdr:to>
    <xdr:graphicFrame macro="">
      <xdr:nvGraphicFramePr>
        <xdr:cNvPr id="7" name="Chart 6">
          <a:extLst>
            <a:ext uri="{FF2B5EF4-FFF2-40B4-BE49-F238E27FC236}">
              <a16:creationId xmlns:a16="http://schemas.microsoft.com/office/drawing/2014/main" id="{37F01BD1-F495-47B4-8C7C-DB5F5098E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456588</xdr:colOff>
      <xdr:row>12</xdr:row>
      <xdr:rowOff>157115</xdr:rowOff>
    </xdr:from>
    <xdr:to>
      <xdr:col>29</xdr:col>
      <xdr:colOff>475013</xdr:colOff>
      <xdr:row>44</xdr:row>
      <xdr:rowOff>144959</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475F5B23-6B3B-4AEA-A485-25C54E8DF43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086988" y="2318424"/>
              <a:ext cx="3066425" cy="5751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448592</xdr:colOff>
      <xdr:row>1</xdr:row>
      <xdr:rowOff>68594</xdr:rowOff>
    </xdr:from>
    <xdr:to>
      <xdr:col>29</xdr:col>
      <xdr:colOff>445323</xdr:colOff>
      <xdr:row>11</xdr:row>
      <xdr:rowOff>128648</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C5538BB3-BCDA-3628-20DE-DF3D5FCB66E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078992" y="248703"/>
              <a:ext cx="3044731" cy="18611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480586</xdr:colOff>
      <xdr:row>1</xdr:row>
      <xdr:rowOff>121477</xdr:rowOff>
    </xdr:from>
    <xdr:to>
      <xdr:col>14</xdr:col>
      <xdr:colOff>304800</xdr:colOff>
      <xdr:row>5</xdr:row>
      <xdr:rowOff>110836</xdr:rowOff>
    </xdr:to>
    <xdr:sp macro="" textlink="Pivot_tables!A5">
      <xdr:nvSpPr>
        <xdr:cNvPr id="10" name="Rectangle: Rounded Corners 9">
          <a:extLst>
            <a:ext uri="{FF2B5EF4-FFF2-40B4-BE49-F238E27FC236}">
              <a16:creationId xmlns:a16="http://schemas.microsoft.com/office/drawing/2014/main" id="{32FF4B67-57B8-7BB3-FBE8-50135D841384}"/>
            </a:ext>
          </a:extLst>
        </xdr:cNvPr>
        <xdr:cNvSpPr/>
      </xdr:nvSpPr>
      <xdr:spPr>
        <a:xfrm>
          <a:off x="6576586" y="301586"/>
          <a:ext cx="2262614" cy="7097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E4EA12-17B1-4AE2-A94D-38CE14883017}" type="TxLink">
            <a:rPr lang="en-US" sz="1600" b="0" i="0" u="none" strike="noStrike">
              <a:solidFill>
                <a:srgbClr val="000000"/>
              </a:solidFill>
              <a:effectLst/>
              <a:latin typeface="Calibri"/>
              <a:ea typeface="+mn-ea"/>
              <a:cs typeface="Calibri"/>
            </a:rPr>
            <a:pPr algn="ctr"/>
            <a:t>₹ 35,20,984.00</a:t>
          </a:fld>
          <a:endParaRPr lang="en-US" sz="1600" b="0" i="0" u="none" strike="noStrike">
            <a:solidFill>
              <a:srgbClr val="000000"/>
            </a:solidFill>
            <a:effectLst/>
            <a:latin typeface="Calibri"/>
            <a:ea typeface="+mn-ea"/>
            <a:cs typeface="Calibri"/>
          </a:endParaRPr>
        </a:p>
        <a:p>
          <a:pPr algn="ctr"/>
          <a:r>
            <a:rPr lang="en-US" sz="1600" b="0" i="0" u="none" strike="noStrike">
              <a:solidFill>
                <a:srgbClr val="000000"/>
              </a:solidFill>
              <a:effectLst/>
              <a:latin typeface="Calibri"/>
              <a:ea typeface="+mn-ea"/>
              <a:cs typeface="Calibri"/>
            </a:rPr>
            <a:t>Total</a:t>
          </a:r>
          <a:r>
            <a:rPr lang="en-US" sz="1600" b="0" i="0" u="none" strike="noStrike" baseline="0">
              <a:solidFill>
                <a:srgbClr val="000000"/>
              </a:solidFill>
              <a:effectLst/>
              <a:latin typeface="Calibri"/>
              <a:ea typeface="+mn-ea"/>
              <a:cs typeface="Calibri"/>
            </a:rPr>
            <a:t> Revenue</a:t>
          </a:r>
          <a:endParaRPr lang="en-IN" sz="1600"/>
        </a:p>
      </xdr:txBody>
    </xdr:sp>
    <xdr:clientData/>
  </xdr:twoCellAnchor>
  <xdr:twoCellAnchor>
    <xdr:from>
      <xdr:col>6</xdr:col>
      <xdr:colOff>371844</xdr:colOff>
      <xdr:row>1</xdr:row>
      <xdr:rowOff>118753</xdr:rowOff>
    </xdr:from>
    <xdr:to>
      <xdr:col>9</xdr:col>
      <xdr:colOff>578033</xdr:colOff>
      <xdr:row>5</xdr:row>
      <xdr:rowOff>84082</xdr:rowOff>
    </xdr:to>
    <xdr:sp macro="" textlink="Pivot_tables!D5">
      <xdr:nvSpPr>
        <xdr:cNvPr id="11" name="Rectangle: Rounded Corners 10">
          <a:extLst>
            <a:ext uri="{FF2B5EF4-FFF2-40B4-BE49-F238E27FC236}">
              <a16:creationId xmlns:a16="http://schemas.microsoft.com/office/drawing/2014/main" id="{B0AB8763-84A8-4AC7-883E-32CE51175984}"/>
            </a:ext>
          </a:extLst>
        </xdr:cNvPr>
        <xdr:cNvSpPr/>
      </xdr:nvSpPr>
      <xdr:spPr>
        <a:xfrm>
          <a:off x="4029444" y="298862"/>
          <a:ext cx="2034989" cy="6857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A20676-EB89-4FA1-A0E0-3A931D605182}"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Orders</a:t>
          </a:r>
          <a:endParaRPr lang="en-US" sz="1600"/>
        </a:p>
      </xdr:txBody>
    </xdr:sp>
    <xdr:clientData/>
  </xdr:twoCellAnchor>
  <xdr:twoCellAnchor>
    <xdr:from>
      <xdr:col>15</xdr:col>
      <xdr:colOff>95033</xdr:colOff>
      <xdr:row>1</xdr:row>
      <xdr:rowOff>150421</xdr:rowOff>
    </xdr:from>
    <xdr:to>
      <xdr:col>19</xdr:col>
      <xdr:colOff>5938</xdr:colOff>
      <xdr:row>5</xdr:row>
      <xdr:rowOff>95992</xdr:rowOff>
    </xdr:to>
    <xdr:sp macro="" textlink="Pivot_tables!B5">
      <xdr:nvSpPr>
        <xdr:cNvPr id="12" name="Rectangle: Rounded Corners 11">
          <a:extLst>
            <a:ext uri="{FF2B5EF4-FFF2-40B4-BE49-F238E27FC236}">
              <a16:creationId xmlns:a16="http://schemas.microsoft.com/office/drawing/2014/main" id="{68B0E030-F747-4FC0-9210-1D53D8356411}"/>
            </a:ext>
          </a:extLst>
        </xdr:cNvPr>
        <xdr:cNvSpPr/>
      </xdr:nvSpPr>
      <xdr:spPr>
        <a:xfrm>
          <a:off x="9239033" y="330530"/>
          <a:ext cx="2349305" cy="666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DF3DAF-66C2-4168-9D7B-B774728AC8D2}"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Order</a:t>
          </a:r>
          <a:r>
            <a:rPr lang="en-US" sz="1600" b="0" i="0" u="none" strike="noStrike" baseline="0">
              <a:solidFill>
                <a:srgbClr val="000000"/>
              </a:solidFill>
              <a:latin typeface="Calibri"/>
              <a:cs typeface="Calibri"/>
            </a:rPr>
            <a:t>-Delivery Time</a:t>
          </a:r>
          <a:endParaRPr lang="en-IN" sz="1600"/>
        </a:p>
      </xdr:txBody>
    </xdr:sp>
    <xdr:clientData/>
  </xdr:twoCellAnchor>
  <xdr:twoCellAnchor>
    <xdr:from>
      <xdr:col>20</xdr:col>
      <xdr:colOff>89065</xdr:colOff>
      <xdr:row>1</xdr:row>
      <xdr:rowOff>155865</xdr:rowOff>
    </xdr:from>
    <xdr:to>
      <xdr:col>24</xdr:col>
      <xdr:colOff>36286</xdr:colOff>
      <xdr:row>5</xdr:row>
      <xdr:rowOff>98962</xdr:rowOff>
    </xdr:to>
    <xdr:sp macro="" textlink="Pivot_tables!C5">
      <xdr:nvSpPr>
        <xdr:cNvPr id="13" name="Rectangle: Rounded Corners 12">
          <a:extLst>
            <a:ext uri="{FF2B5EF4-FFF2-40B4-BE49-F238E27FC236}">
              <a16:creationId xmlns:a16="http://schemas.microsoft.com/office/drawing/2014/main" id="{AE8F3BAE-B915-4B18-A9F9-1E2E94453A6D}"/>
            </a:ext>
          </a:extLst>
        </xdr:cNvPr>
        <xdr:cNvSpPr/>
      </xdr:nvSpPr>
      <xdr:spPr>
        <a:xfrm>
          <a:off x="12360234" y="333995"/>
          <a:ext cx="2401455" cy="6556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B65D5D-5050-4FA3-A1A4-D8D1A6D293F0}"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a:t>
          </a:r>
          <a:r>
            <a:rPr lang="en-US" sz="1600" b="0" i="0" u="none" strike="noStrike" baseline="0">
              <a:solidFill>
                <a:srgbClr val="000000"/>
              </a:solidFill>
              <a:latin typeface="Calibri"/>
              <a:cs typeface="Calibri"/>
            </a:rPr>
            <a:t> Customer Spent</a:t>
          </a:r>
          <a:endParaRPr lang="en-IN" sz="1600"/>
        </a:p>
      </xdr:txBody>
    </xdr:sp>
    <xdr:clientData/>
  </xdr:twoCellAnchor>
  <xdr:twoCellAnchor>
    <xdr:from>
      <xdr:col>0</xdr:col>
      <xdr:colOff>407469</xdr:colOff>
      <xdr:row>1</xdr:row>
      <xdr:rowOff>144318</xdr:rowOff>
    </xdr:from>
    <xdr:to>
      <xdr:col>6</xdr:col>
      <xdr:colOff>105228</xdr:colOff>
      <xdr:row>5</xdr:row>
      <xdr:rowOff>62676</xdr:rowOff>
    </xdr:to>
    <xdr:sp macro="" textlink="">
      <xdr:nvSpPr>
        <xdr:cNvPr id="15" name="Rectangle: Rounded Corners 14">
          <a:extLst>
            <a:ext uri="{FF2B5EF4-FFF2-40B4-BE49-F238E27FC236}">
              <a16:creationId xmlns:a16="http://schemas.microsoft.com/office/drawing/2014/main" id="{953D9793-F77F-4EB3-8838-0019609D0E11}"/>
            </a:ext>
          </a:extLst>
        </xdr:cNvPr>
        <xdr:cNvSpPr/>
      </xdr:nvSpPr>
      <xdr:spPr>
        <a:xfrm>
          <a:off x="407469" y="324427"/>
          <a:ext cx="3355359" cy="6387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         Sales Analytics</a:t>
          </a:r>
        </a:p>
      </xdr:txBody>
    </xdr:sp>
    <xdr:clientData/>
  </xdr:twoCellAnchor>
  <xdr:twoCellAnchor editAs="oneCell">
    <xdr:from>
      <xdr:col>0</xdr:col>
      <xdr:colOff>519040</xdr:colOff>
      <xdr:row>2</xdr:row>
      <xdr:rowOff>32610</xdr:rowOff>
    </xdr:from>
    <xdr:to>
      <xdr:col>2</xdr:col>
      <xdr:colOff>113878</xdr:colOff>
      <xdr:row>4</xdr:row>
      <xdr:rowOff>158667</xdr:rowOff>
    </xdr:to>
    <xdr:pic>
      <xdr:nvPicPr>
        <xdr:cNvPr id="17" name="Picture 16">
          <a:extLst>
            <a:ext uri="{FF2B5EF4-FFF2-40B4-BE49-F238E27FC236}">
              <a16:creationId xmlns:a16="http://schemas.microsoft.com/office/drawing/2014/main" id="{EA420046-A147-C875-E38D-3302733422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9040" y="392828"/>
          <a:ext cx="814038" cy="486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7245372" backgroundQuery="1" createdVersion="8" refreshedVersion="8" minRefreshableVersion="3" recordCount="0" supportSubquery="1" supportAdvancedDrill="1" xr:uid="{7FF1AB8F-5D58-41C0-864A-CA1CCDD46460}">
  <cacheSource type="external" connectionId="9"/>
  <cacheFields count="3">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1].[Content]" caption="Content" attribute="1" defaultMemberUniqueName="[data1].[Content].[All]" allUniqueName="[data1].[Content].[All]" dimensionUniqueName="[data1]" displayFolder="" count="2" memberValueDatatype="130" unbalanced="0"/>
    <cacheHierarchy uniqueName="[data1].[Name]" caption="Name" attribute="1" defaultMemberUniqueName="[data1].[Name].[All]" allUniqueName="[data1].[Name].[All]" dimensionUniqueName="[data1]" displayFolder="" count="2" memberValueDatatype="130" unbalanced="0"/>
    <cacheHierarchy uniqueName="[data1].[Extension]" caption="Extension" attribute="1" defaultMemberUniqueName="[data1].[Extension].[All]" allUniqueName="[data1].[Extension].[All]" dimensionUniqueName="[data1]" displayFolder="" count="2" memberValueDatatype="130" unbalanced="0"/>
    <cacheHierarchy uniqueName="[data1].[Date accessed]" caption="Date accessed" attribute="1" time="1" defaultMemberUniqueName="[data1].[Date accessed].[All]" allUniqueName="[data1].[Date accessed].[All]" dimensionUniqueName="[data1]" displayFolder="" count="2" memberValueDatatype="7" unbalanced="0"/>
    <cacheHierarchy uniqueName="[data1].[Date modified]" caption="Date modified" attribute="1" time="1" defaultMemberUniqueName="[data1].[Date modified].[All]" allUniqueName="[data1].[Date modified].[All]" dimensionUniqueName="[data1]" displayFolder="" count="2" memberValueDatatype="7" unbalanced="0"/>
    <cacheHierarchy uniqueName="[data1].[Date created]" caption="Date created" attribute="1" time="1" defaultMemberUniqueName="[data1].[Date created].[All]" allUniqueName="[data1].[Date created].[All]" dimensionUniqueName="[data1]" displayFolder="" count="2" memberValueDatatype="7" unbalanced="0"/>
    <cacheHierarchy uniqueName="[data1].[Folder Path]" caption="Folder Path" attribute="1" defaultMemberUniqueName="[data1].[Folder Path].[All]" allUniqueName="[data1].[Folder Path].[All]" dimensionUniqueName="[data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del-ord)]" caption="diff(del-ord)" attribute="1" defaultMemberUniqueName="[orders].[diff(del-ord)].[All]" allUniqueName="[orders].[diff(del-ord)].[All]" dimensionUniqueName="[orders]" displayFolder="" count="2" memberValueDatatype="5" unbalanced="0"/>
    <cacheHierarchy uniqueName="[orders].[Hour(del_time)]" caption="Hour(del_time)" attribute="1" defaultMemberUniqueName="[orders].[Hour(del_time)].[All]" allUniqueName="[orders].[Hour(del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ed day]" caption="ordered day" attribute="1" defaultMemberUniqueName="[orders].[ordered day].[All]" allUniqueName="[orders].[ordered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7592595" backgroundQuery="1" createdVersion="8" refreshedVersion="8" minRefreshableVersion="3" recordCount="0" supportSubquery="1" supportAdvancedDrill="1" xr:uid="{CD0AACBE-C63B-4A52-B14C-38C82C0A7AEB}">
  <cacheSource type="external" connectionId="9"/>
  <cacheFields count="5">
    <cacheField name="[Measures].[Sum of revenue]" caption="Sum of revenue" numFmtId="0" hierarchy="41" level="32767"/>
    <cacheField name="[Measures].[Average of diff(del-ord)]" caption="Average of diff(del-ord)" numFmtId="0" hierarchy="43" level="32767"/>
    <cacheField name="[Measures].[Average of revenue]" caption="Average of revenue" numFmtId="0" hierarchy="44" level="32767"/>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7939818" backgroundQuery="1" createdVersion="8" refreshedVersion="8" minRefreshableVersion="3" recordCount="0" supportSubquery="1" supportAdvancedDrill="1" xr:uid="{65C89F57-D987-4C6F-9E0F-193C605AA293}">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8287034" backgroundQuery="1" createdVersion="8" refreshedVersion="8" minRefreshableVersion="3" recordCount="0" supportSubquery="1" supportAdvancedDrill="1" xr:uid="{CBB5127E-C775-4FCF-A03A-2C398D4D3BA8}">
  <cacheSource type="external" connectionId="9"/>
  <cacheFields count="4">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8634258" backgroundQuery="1" createdVersion="8" refreshedVersion="8" minRefreshableVersion="3" recordCount="0" supportSubquery="1" supportAdvancedDrill="1" xr:uid="{623C6C9A-A50D-4B03-8E7D-B09F4B7B6237}">
  <cacheSource type="external" connectionId="9"/>
  <cacheFields count="5">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5">
        <s v="Bareilly"/>
        <s v="Bhilai"/>
        <s v="Ghaziabad"/>
        <s v="Hazaribagh"/>
        <s v="Vijayanagaram"/>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8981481" backgroundQuery="1" createdVersion="8" refreshedVersion="8" minRefreshableVersion="3" recordCount="0" supportSubquery="1" supportAdvancedDrill="1" xr:uid="{444F57E8-C475-4CB7-9CC0-261D02985201}">
  <cacheSource type="external" connectionId="9"/>
  <cacheFields count="4">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1].[Content]" caption="Content" attribute="1" defaultMemberUniqueName="[data1].[Content].[All]" allUniqueName="[data1].[Content].[All]" dimensionUniqueName="[data1]" displayFolder="" count="2" memberValueDatatype="130" unbalanced="0"/>
    <cacheHierarchy uniqueName="[data1].[Name]" caption="Name" attribute="1" defaultMemberUniqueName="[data1].[Name].[All]" allUniqueName="[data1].[Name].[All]" dimensionUniqueName="[data1]" displayFolder="" count="2" memberValueDatatype="130" unbalanced="0"/>
    <cacheHierarchy uniqueName="[data1].[Extension]" caption="Extension" attribute="1" defaultMemberUniqueName="[data1].[Extension].[All]" allUniqueName="[data1].[Extension].[All]" dimensionUniqueName="[data1]" displayFolder="" count="2" memberValueDatatype="130" unbalanced="0"/>
    <cacheHierarchy uniqueName="[data1].[Date accessed]" caption="Date accessed" attribute="1" time="1" defaultMemberUniqueName="[data1].[Date accessed].[All]" allUniqueName="[data1].[Date accessed].[All]" dimensionUniqueName="[data1]" displayFolder="" count="2" memberValueDatatype="7" unbalanced="0"/>
    <cacheHierarchy uniqueName="[data1].[Date modified]" caption="Date modified" attribute="1" time="1" defaultMemberUniqueName="[data1].[Date modified].[All]" allUniqueName="[data1].[Date modified].[All]" dimensionUniqueName="[data1]" displayFolder="" count="2" memberValueDatatype="7" unbalanced="0"/>
    <cacheHierarchy uniqueName="[data1].[Date created]" caption="Date created" attribute="1" time="1" defaultMemberUniqueName="[data1].[Date created].[All]" allUniqueName="[data1].[Date created].[All]" dimensionUniqueName="[data1]" displayFolder="" count="2" memberValueDatatype="7" unbalanced="0"/>
    <cacheHierarchy uniqueName="[data1].[Folder Path]" caption="Folder Path" attribute="1" defaultMemberUniqueName="[data1].[Folder Path].[All]" allUniqueName="[data1].[Folder Path].[All]" dimensionUniqueName="[data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del-ord)]" caption="diff(del-ord)" attribute="1" defaultMemberUniqueName="[orders].[diff(del-ord)].[All]" allUniqueName="[orders].[diff(del-ord)].[All]" dimensionUniqueName="[orders]" displayFolder="" count="2" memberValueDatatype="5" unbalanced="0"/>
    <cacheHierarchy uniqueName="[orders].[Hour(del_time)]" caption="Hour(del_time)" attribute="1" defaultMemberUniqueName="[orders].[Hour(del_time)].[All]" allUniqueName="[orders].[Hour(del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ed day]" caption="ordered day" attribute="1" defaultMemberUniqueName="[orders].[ordered day].[All]" allUniqueName="[orders].[ordered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890469444443" backgroundQuery="1" createdVersion="8" refreshedVersion="8" minRefreshableVersion="3" recordCount="0" supportSubquery="1" supportAdvancedDrill="1" xr:uid="{F0E579B2-EEE0-4A49-A3C7-F38964440977}">
  <cacheSource type="external" connectionId="9"/>
  <cacheFields count="3">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1].[Content]" caption="Content" attribute="1" defaultMemberUniqueName="[data1].[Content].[All]" allUniqueName="[data1].[Content].[All]" dimensionUniqueName="[data1]" displayFolder="" count="2" memberValueDatatype="130" unbalanced="0"/>
    <cacheHierarchy uniqueName="[data1].[Name]" caption="Name" attribute="1" defaultMemberUniqueName="[data1].[Name].[All]" allUniqueName="[data1].[Name].[All]" dimensionUniqueName="[data1]" displayFolder="" count="2" memberValueDatatype="130" unbalanced="0"/>
    <cacheHierarchy uniqueName="[data1].[Extension]" caption="Extension" attribute="1" defaultMemberUniqueName="[data1].[Extension].[All]" allUniqueName="[data1].[Extension].[All]" dimensionUniqueName="[data1]" displayFolder="" count="2" memberValueDatatype="130" unbalanced="0"/>
    <cacheHierarchy uniqueName="[data1].[Date accessed]" caption="Date accessed" attribute="1" time="1" defaultMemberUniqueName="[data1].[Date accessed].[All]" allUniqueName="[data1].[Date accessed].[All]" dimensionUniqueName="[data1]" displayFolder="" count="2" memberValueDatatype="7" unbalanced="0"/>
    <cacheHierarchy uniqueName="[data1].[Date modified]" caption="Date modified" attribute="1" time="1" defaultMemberUniqueName="[data1].[Date modified].[All]" allUniqueName="[data1].[Date modified].[All]" dimensionUniqueName="[data1]" displayFolder="" count="2" memberValueDatatype="7" unbalanced="0"/>
    <cacheHierarchy uniqueName="[data1].[Date created]" caption="Date created" attribute="1" time="1" defaultMemberUniqueName="[data1].[Date created].[All]" allUniqueName="[data1].[Date created].[All]" dimensionUniqueName="[data1]" displayFolder="" count="2" memberValueDatatype="7" unbalanced="0"/>
    <cacheHierarchy uniqueName="[data1].[Folder Path]" caption="Folder Path" attribute="1" defaultMemberUniqueName="[data1].[Folder Path].[All]" allUniqueName="[data1].[Folder Path].[All]" dimensionUniqueName="[data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del-ord)]" caption="diff(del-ord)" attribute="1" defaultMemberUniqueName="[orders].[diff(del-ord)].[All]" allUniqueName="[orders].[diff(del-ord)].[All]" dimensionUniqueName="[orders]" displayFolder="" count="2" memberValueDatatype="5" unbalanced="0"/>
    <cacheHierarchy uniqueName="[orders].[Hour(del_time)]" caption="Hour(del_time)" attribute="1" defaultMemberUniqueName="[orders].[Hour(del_time)].[All]" allUniqueName="[orders].[Hour(del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ed day]" caption="ordered day" attribute="1" defaultMemberUniqueName="[orders].[ordered day].[All]" allUniqueName="[orders].[ordered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data1" uniqueName="[data1]" caption="data1"/>
    <dimension measure="1" name="Measures" uniqueName="[Measures]" caption="Measures"/>
    <dimension name="orders" uniqueName="[orders]" caption="orders"/>
    <dimension name="products" uniqueName="[products]" caption="products"/>
  </dimensions>
  <measureGroups count="4">
    <measureGroup name="customer" caption="customer"/>
    <measureGroup name="data1" caption="data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4.845968518515" backgroundQuery="1" createdVersion="3" refreshedVersion="8" minRefreshableVersion="3" recordCount="0" supportSubquery="1" supportAdvancedDrill="1" xr:uid="{199E911C-7308-4CEC-9F81-7CA8D4CC6AA6}">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0308788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5.35898287037" backgroundQuery="1" createdVersion="3" refreshedVersion="8" minRefreshableVersion="3" recordCount="0" supportSubquery="1" supportAdvancedDrill="1" xr:uid="{488EBDC1-A2B1-49FF-961D-B9596BBD88C7}">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1].[Content]" caption="Content" attribute="1" defaultMemberUniqueName="[data1].[Content].[All]" allUniqueName="[data1].[Content].[All]" dimensionUniqueName="[data1]" displayFolder="" count="0" memberValueDatatype="130" unbalanced="0"/>
    <cacheHierarchy uniqueName="[data1].[Name]" caption="Name" attribute="1" defaultMemberUniqueName="[data1].[Name].[All]" allUniqueName="[data1].[Name].[All]" dimensionUniqueName="[data1]" displayFolder="" count="0" memberValueDatatype="130" unbalanced="0"/>
    <cacheHierarchy uniqueName="[data1].[Extension]" caption="Extension" attribute="1" defaultMemberUniqueName="[data1].[Extension].[All]" allUniqueName="[data1].[Extension].[All]" dimensionUniqueName="[data1]" displayFolder="" count="0" memberValueDatatype="130" unbalanced="0"/>
    <cacheHierarchy uniqueName="[data1].[Date accessed]" caption="Date accessed" attribute="1" time="1" defaultMemberUniqueName="[data1].[Date accessed].[All]" allUniqueName="[data1].[Date accessed].[All]" dimensionUniqueName="[data1]" displayFolder="" count="0" memberValueDatatype="7" unbalanced="0"/>
    <cacheHierarchy uniqueName="[data1].[Date modified]" caption="Date modified" attribute="1" time="1" defaultMemberUniqueName="[data1].[Date modified].[All]" allUniqueName="[data1].[Date modified].[All]" dimensionUniqueName="[data1]" displayFolder="" count="0" memberValueDatatype="7" unbalanced="0"/>
    <cacheHierarchy uniqueName="[data1].[Date created]" caption="Date created" attribute="1" time="1" defaultMemberUniqueName="[data1].[Date created].[All]" allUniqueName="[data1].[Date created].[All]" dimensionUniqueName="[data1]" displayFolder="" count="0" memberValueDatatype="7" unbalanced="0"/>
    <cacheHierarchy uniqueName="[data1].[Folder Path]" caption="Folder Path" attribute="1" defaultMemberUniqueName="[data1].[Folder Path].[All]" allUniqueName="[data1].[Folder Path].[All]" dimensionUniqueName="[data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del-ord)]" caption="diff(del-ord)" attribute="1" defaultMemberUniqueName="[orders].[diff(del-ord)].[All]" allUniqueName="[orders].[diff(del-ord)].[All]" dimensionUniqueName="[orders]" displayFolder="" count="0" memberValueDatatype="5" unbalanced="0"/>
    <cacheHierarchy uniqueName="[orders].[Hour(del_time)]" caption="Hour(del_time)" attribute="1" defaultMemberUniqueName="[orders].[Hour(del_time)].[All]" allUniqueName="[orders].[Hour(del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ed day]" caption="ordered day" attribute="1" defaultMemberUniqueName="[orders].[ordered day].[All]" allUniqueName="[orders].[ordered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1]" caption="__XL_Count data1" measure="1" displayFolder="" measureGroup="data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ord)]" caption="Sum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ord)]" caption="Average of diff(del-ord)"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3995459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8D816-316E-42E1-A676-3F412CC09651}" name="PivotTable5" cacheId="86"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3">
  <location ref="A22:B3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1">
      <autoFilter ref="A1">
        <filterColumn colId="0">
          <top10 val="5" filterVal="5"/>
        </filterColumn>
      </autoFilter>
    </filter>
    <filter fld="1" type="count" id="2" iMeasureHier="41">
      <autoFilter ref="A1">
        <filterColumn colId="0">
          <top10 val="5" filterVal="5"/>
        </filterColumn>
      </autoFilter>
    </filter>
    <filter fld="2" type="count" id="3"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33A97B-F241-4B54-AC7A-7260B118ED13}" name="PivotTable6" cacheId="92"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3">
  <location ref="D10:E18"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9D79D0-E41C-4324-A975-C4D6BAB1551B}" name="PivotTable4" cacheId="83"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3">
  <location ref="D22:E30"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CD712-3801-4694-8A3E-9D0D01281934}" name="PivotTable3" cacheId="80"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4">
  <location ref="K10:L2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C3F028-75D8-403E-8CF6-4133D461D9BC}" name="PivotTable2" cacheId="77" applyNumberFormats="0" applyBorderFormats="0" applyFontFormats="0" applyPatternFormats="0" applyAlignmentFormats="0" applyWidthHeightFormats="1" dataCaption="Values" tag="b36b7b4b-f9b9-4cef-9094-a9509a472510" updatedVersion="8" minRefreshableVersion="5" useAutoFormatting="1" subtotalHiddenItems="1" itemPrintTitles="1" createdVersion="8" indent="0" outline="1" outlineData="1" multipleFieldFilters="0">
  <location ref="A4:D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del-ord)" fld="1" subtotal="average" baseField="0" baseItem="0"/>
    <dataField name="Average of Customer spending" fld="2" subtotal="average" baseField="0" baseItem="0"/>
    <dataField name="Count of Order_I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1B41B1-FDB0-4B1B-89F4-A3DCC563B418}" name="PivotTable7" cacheId="89"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6">
  <location ref="H10:I3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2E94E-8148-4EDF-AF80-65EB57E06D14}" name="PivotTable1" cacheId="74" applyNumberFormats="0" applyBorderFormats="0" applyFontFormats="0" applyPatternFormats="0" applyAlignmentFormats="0" applyWidthHeightFormats="1" dataCaption="Values" tag="b36b7b4b-f9b9-4cef-9094-a9509a472510" updatedVersion="8" minRefreshableVersion="5" useAutoFormatting="1" itemPrintTitles="1" createdVersion="8" indent="0" outline="1" outlineData="1" multipleFieldFilters="0" chartFormat="3">
  <location ref="A10:B1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869A4F-E8B6-4AB1-A95B-65BA21FF127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1FCE419-1DB6-45EF-8C66-4265B5058CE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5AB6CB9-CDFB-45A1-B0A4-867537D8CAC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del-ord)" tableColumnId="13"/>
      <queryTableField id="14" name="Hour(del_time)" tableColumnId="14"/>
      <queryTableField id="15" name="products.Price (INR)" tableColumnId="15"/>
      <queryTableField id="16" name="revenue" tableColumnId="16"/>
      <queryTableField id="17" name="ordered 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2DEB8A7-03C7-499A-9EC1-341957A2BC5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D9835C5-79CE-4399-90D3-10998631DC41}" sourceName="[orders].[Occasion]">
  <pivotTables>
    <pivotTable tabId="1" name="PivotTable1"/>
    <pivotTable tabId="1" name="PivotTable2"/>
    <pivotTable tabId="1" name="PivotTable3"/>
    <pivotTable tabId="1" name="PivotTable4"/>
    <pivotTable tabId="1" name="PivotTable5"/>
    <pivotTable tabId="1" name="PivotTable7"/>
    <pivotTable tabId="1" name="PivotTable6"/>
  </pivotTables>
  <data>
    <olap pivotCacheId="7030878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ACB495C-058A-4528-B955-8D4AEF1183F1}" cache="Slicer_Occasion" caption="Occasion" level="1"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48D420-97A2-46ED-8560-F68610A66307}" name="data1" displayName="data1" ref="A1:F4" tableType="queryTable" totalsRowShown="0">
  <autoFilter ref="A1:F4" xr:uid="{FF48D420-97A2-46ED-8560-F68610A66307}"/>
  <tableColumns count="6">
    <tableColumn id="1" xr3:uid="{FA6C77AB-F265-4F6A-8680-3B22A472201E}" uniqueName="1" name="Name" queryTableFieldId="1" dataDxfId="23"/>
    <tableColumn id="2" xr3:uid="{5CEAA620-4647-4D80-A780-78985F243913}" uniqueName="2" name="Extension" queryTableFieldId="2" dataDxfId="22"/>
    <tableColumn id="3" xr3:uid="{8E70BA04-C6E2-4AAC-B2BA-CBE266785126}" uniqueName="3" name="Date accessed" queryTableFieldId="3" dataDxfId="21"/>
    <tableColumn id="4" xr3:uid="{22B4C0BB-5037-4BC5-B87F-A907705E508C}" uniqueName="4" name="Date modified" queryTableFieldId="4" dataDxfId="20"/>
    <tableColumn id="5" xr3:uid="{91816749-35AE-4D57-A7A7-FA69A561ACCB}" uniqueName="5" name="Date created" queryTableFieldId="5" dataDxfId="19"/>
    <tableColumn id="6" xr3:uid="{5A29EAEF-71E3-4F45-9E1E-E2EA814512F4}"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C628E1-235B-4217-8AAA-8FE1D707892B}" name="customer" displayName="customer" ref="A1:G101" tableType="queryTable" totalsRowShown="0">
  <autoFilter ref="A1:G101" xr:uid="{6CC628E1-235B-4217-8AAA-8FE1D707892B}"/>
  <tableColumns count="7">
    <tableColumn id="1" xr3:uid="{523AF1F6-B83C-44A1-8900-CBF426D65937}" uniqueName="1" name="Customer_ID" queryTableFieldId="1" dataDxfId="17"/>
    <tableColumn id="2" xr3:uid="{BBA8CBE7-82B2-408B-B5A9-41841157CD50}" uniqueName="2" name="Name" queryTableFieldId="2" dataDxfId="16"/>
    <tableColumn id="3" xr3:uid="{C603576B-275B-489D-9C00-1CB72FC6971B}" uniqueName="3" name="City" queryTableFieldId="3" dataDxfId="15"/>
    <tableColumn id="4" xr3:uid="{4953AB4C-4D26-476B-B09D-5CE4618C7B4A}" uniqueName="4" name="Contact_Number" queryTableFieldId="4" dataDxfId="14"/>
    <tableColumn id="5" xr3:uid="{0BA72FE9-4571-4724-8BBD-AB24374C3FE1}" uniqueName="5" name="Email" queryTableFieldId="5" dataDxfId="13"/>
    <tableColumn id="6" xr3:uid="{26BCFE80-8B73-4026-B7A6-28B9478CD59A}" uniqueName="6" name="Gender" queryTableFieldId="6" dataDxfId="12"/>
    <tableColumn id="7" xr3:uid="{5DB84198-D385-44E0-A0D5-AD0DC98A697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3E2EA1-FD58-429E-B1E6-61DA721482B5}" name="orders" displayName="orders" ref="A1:Q1001" tableType="queryTable" totalsRowShown="0">
  <autoFilter ref="A1:Q1001" xr:uid="{213E2EA1-FD58-429E-B1E6-61DA721482B5}"/>
  <tableColumns count="17">
    <tableColumn id="1" xr3:uid="{F759389A-9819-4D35-9886-E5C2BDB4DAA4}" uniqueName="1" name="Order_ID" queryTableFieldId="1"/>
    <tableColumn id="2" xr3:uid="{1EDFF891-515B-4835-BA4C-B5D7AC183295}" uniqueName="2" name="Customer_ID" queryTableFieldId="2" dataDxfId="10"/>
    <tableColumn id="3" xr3:uid="{3B2D5EC5-90F9-465B-9D6F-00CB5161AEFA}" uniqueName="3" name="Product_ID" queryTableFieldId="3"/>
    <tableColumn id="4" xr3:uid="{4B33599F-32A5-4951-8C3E-C7C12E580556}" uniqueName="4" name="Quantity" queryTableFieldId="4"/>
    <tableColumn id="5" xr3:uid="{E5475E6E-5DAF-45A4-8762-D7E0A29E057E}" uniqueName="5" name="Order_Date" queryTableFieldId="5" dataDxfId="9"/>
    <tableColumn id="6" xr3:uid="{C6359F75-83F0-4815-845B-4064A5768C6A}" uniqueName="6" name="Order_Time" queryTableFieldId="6" dataDxfId="8"/>
    <tableColumn id="7" xr3:uid="{BB30A840-EF21-43FD-8951-558827D0F191}" uniqueName="7" name="Delivery_Date" queryTableFieldId="7" dataDxfId="7"/>
    <tableColumn id="8" xr3:uid="{11DF6FCD-F5F0-4F7A-84F0-51092A0E0F15}" uniqueName="8" name="Delivery_Time" queryTableFieldId="8" dataDxfId="6"/>
    <tableColumn id="9" xr3:uid="{C30C8BCA-D969-4700-BC18-AC29EAA459B7}" uniqueName="9" name="Location" queryTableFieldId="9" dataDxfId="5"/>
    <tableColumn id="10" xr3:uid="{45A9151D-0A13-49A5-B67B-9450B0464179}" uniqueName="10" name="Occasion" queryTableFieldId="10" dataDxfId="4"/>
    <tableColumn id="11" xr3:uid="{A74B68AD-9931-410E-9AF9-C9BF153F66C5}" uniqueName="11" name="Month Name" queryTableFieldId="11" dataDxfId="3"/>
    <tableColumn id="12" xr3:uid="{8D6E621B-AE02-4700-966D-147000837295}" uniqueName="12" name="Hour(order_time)" queryTableFieldId="12"/>
    <tableColumn id="13" xr3:uid="{C5A5F19F-1BCD-4C27-BB26-11C016F35991}" uniqueName="13" name="diff(del-ord)" queryTableFieldId="13"/>
    <tableColumn id="14" xr3:uid="{BC9DAA59-C9BB-422F-9171-D57B94D09718}" uniqueName="14" name="Hour(del_time)" queryTableFieldId="14"/>
    <tableColumn id="15" xr3:uid="{ECC210BE-8DB9-4035-AF0D-BAC476504660}" uniqueName="15" name="products.Price (INR)" queryTableFieldId="15"/>
    <tableColumn id="16" xr3:uid="{CDFEE6EB-647C-45C7-808F-C7CA2FCB3E00}" uniqueName="16" name="revenue" queryTableFieldId="16"/>
    <tableColumn id="17" xr3:uid="{3C8E0731-B57E-4277-BE57-6952971DC986}" uniqueName="17" name="ordered 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1BF5CA-15DA-4637-A47A-909F53E540CC}" name="products" displayName="products" ref="A1:E71" tableType="queryTable" totalsRowShown="0">
  <autoFilter ref="A1:E71" xr:uid="{C71BF5CA-15DA-4637-A47A-909F53E540CC}"/>
  <tableColumns count="5">
    <tableColumn id="1" xr3:uid="{FE9C4683-7BDD-4010-8094-96265FCA0A59}" uniqueName="1" name="Product_ID" queryTableFieldId="1"/>
    <tableColumn id="2" xr3:uid="{6B0C4343-8616-47C0-9C56-425221828C05}" uniqueName="2" name="Product_Name" queryTableFieldId="2" dataDxfId="2"/>
    <tableColumn id="3" xr3:uid="{57A140E6-533E-4EC1-988C-8D69D60F0320}" uniqueName="3" name="Category" queryTableFieldId="3" dataDxfId="1"/>
    <tableColumn id="4" xr3:uid="{246B4115-D2A4-484A-B2DC-3C5C603B8FA0}" uniqueName="4" name="Price (INR)" queryTableFieldId="4"/>
    <tableColumn id="5" xr3:uid="{F9673224-4B5F-4932-844C-DB4B27C8948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6E647C7-DEB3-427C-AC76-8131204F52B5}" sourceName="[orders].[Order_Date]">
  <pivotTables>
    <pivotTable tabId="1" name="PivotTable6"/>
    <pivotTable tabId="1" name="PivotTable1"/>
    <pivotTable tabId="1" name="PivotTable2"/>
    <pivotTable tabId="1" name="PivotTable3"/>
    <pivotTable tabId="1" name="PivotTable4"/>
    <pivotTable tabId="1" name="PivotTable5"/>
    <pivotTable tabId="1" name="PivotTable7"/>
  </pivotTables>
  <state minimalRefreshVersion="6" lastRefreshVersion="6" pivotCacheId="39954591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341E19-7846-4AFC-84DD-49519D404823}" cache="Timeline_Order_Date" caption="Order_Date" level="2" selectionLevel="2" scrollPosition="2023-03-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0D59-17F1-477E-969D-7910E066DD1E}">
  <dimension ref="A3:L35"/>
  <sheetViews>
    <sheetView zoomScale="79" workbookViewId="0">
      <selection activeCell="D9" sqref="D9:E9"/>
    </sheetView>
  </sheetViews>
  <sheetFormatPr defaultRowHeight="14.4" x14ac:dyDescent="0.3"/>
  <cols>
    <col min="1" max="1" width="13.44140625" bestFit="1" customWidth="1"/>
    <col min="2" max="2" width="16.109375" customWidth="1"/>
    <col min="3" max="3" width="14.5546875" bestFit="1" customWidth="1"/>
    <col min="4" max="4" width="17" bestFit="1" customWidth="1"/>
    <col min="5" max="5" width="15.109375" bestFit="1" customWidth="1"/>
    <col min="6" max="6" width="12.109375" customWidth="1"/>
    <col min="7" max="8" width="15.109375" bestFit="1" customWidth="1"/>
    <col min="9" max="9" width="14.88671875" bestFit="1" customWidth="1"/>
    <col min="10" max="10" width="17" bestFit="1" customWidth="1"/>
    <col min="11" max="11" width="20.5546875" customWidth="1"/>
    <col min="12" max="12" width="13.44140625" bestFit="1" customWidth="1"/>
    <col min="13" max="13" width="14.88671875" bestFit="1" customWidth="1"/>
  </cols>
  <sheetData>
    <row r="3" spans="1:12" x14ac:dyDescent="0.3">
      <c r="A3" s="11" t="s">
        <v>948</v>
      </c>
      <c r="B3" s="11"/>
      <c r="C3" s="11"/>
      <c r="D3" s="11"/>
    </row>
    <row r="4" spans="1:12" ht="12.6" customHeight="1" x14ac:dyDescent="0.3">
      <c r="A4" t="s">
        <v>944</v>
      </c>
      <c r="B4" t="s">
        <v>945</v>
      </c>
      <c r="C4" t="s">
        <v>946</v>
      </c>
      <c r="D4" t="s">
        <v>947</v>
      </c>
      <c r="F4" s="9" t="s">
        <v>949</v>
      </c>
    </row>
    <row r="5" spans="1:12" x14ac:dyDescent="0.3">
      <c r="A5" s="7">
        <v>3520984</v>
      </c>
      <c r="B5" s="8">
        <v>5.53</v>
      </c>
      <c r="C5" s="7">
        <v>3520.9839999999999</v>
      </c>
      <c r="D5" s="8">
        <v>1000</v>
      </c>
      <c r="F5">
        <f>CORREL(orders[Quantity],orders[diff(del-ord)])</f>
        <v>3.4781737193018245E-3</v>
      </c>
    </row>
    <row r="9" spans="1:12" x14ac:dyDescent="0.3">
      <c r="A9" s="11" t="s">
        <v>950</v>
      </c>
      <c r="B9" s="11"/>
      <c r="D9" s="11" t="s">
        <v>955</v>
      </c>
      <c r="E9" s="11"/>
      <c r="H9" s="11" t="s">
        <v>953</v>
      </c>
      <c r="I9" s="10"/>
      <c r="K9" s="11" t="s">
        <v>954</v>
      </c>
      <c r="L9" s="10"/>
    </row>
    <row r="10" spans="1:12" x14ac:dyDescent="0.3">
      <c r="A10" s="4" t="s">
        <v>942</v>
      </c>
      <c r="B10" t="s">
        <v>944</v>
      </c>
      <c r="D10" s="4" t="s">
        <v>942</v>
      </c>
      <c r="E10" t="s">
        <v>944</v>
      </c>
      <c r="H10" s="4" t="s">
        <v>942</v>
      </c>
      <c r="I10" t="s">
        <v>944</v>
      </c>
      <c r="K10" s="4" t="s">
        <v>942</v>
      </c>
      <c r="L10" t="s">
        <v>944</v>
      </c>
    </row>
    <row r="11" spans="1:12" x14ac:dyDescent="0.3">
      <c r="A11" s="5" t="s">
        <v>878</v>
      </c>
      <c r="B11" s="7">
        <v>97665</v>
      </c>
      <c r="D11" s="5" t="s">
        <v>699</v>
      </c>
      <c r="E11" s="7">
        <v>586176</v>
      </c>
      <c r="H11" s="5">
        <v>0</v>
      </c>
      <c r="I11" s="7">
        <v>99400</v>
      </c>
      <c r="K11" s="5" t="s">
        <v>842</v>
      </c>
      <c r="L11" s="7">
        <v>95468</v>
      </c>
    </row>
    <row r="12" spans="1:12" x14ac:dyDescent="0.3">
      <c r="A12" s="5" t="s">
        <v>919</v>
      </c>
      <c r="B12" s="7">
        <v>106624</v>
      </c>
      <c r="D12" s="5" t="s">
        <v>698</v>
      </c>
      <c r="E12" s="7">
        <v>674634</v>
      </c>
      <c r="H12" s="5">
        <v>1</v>
      </c>
      <c r="I12" s="7">
        <v>129309</v>
      </c>
      <c r="K12" s="5" t="s">
        <v>621</v>
      </c>
      <c r="L12" s="7">
        <v>704509</v>
      </c>
    </row>
    <row r="13" spans="1:12" x14ac:dyDescent="0.3">
      <c r="A13" s="5" t="s">
        <v>911</v>
      </c>
      <c r="B13" s="7">
        <v>101556</v>
      </c>
      <c r="D13" s="5" t="s">
        <v>707</v>
      </c>
      <c r="E13" s="7">
        <v>408194</v>
      </c>
      <c r="H13" s="5">
        <v>2</v>
      </c>
      <c r="I13" s="7">
        <v>152940</v>
      </c>
      <c r="K13" s="5" t="s">
        <v>747</v>
      </c>
      <c r="L13" s="7">
        <v>511823</v>
      </c>
    </row>
    <row r="14" spans="1:12" x14ac:dyDescent="0.3">
      <c r="A14" s="5" t="s">
        <v>859</v>
      </c>
      <c r="B14" s="7">
        <v>121905</v>
      </c>
      <c r="D14" s="5" t="s">
        <v>829</v>
      </c>
      <c r="E14" s="7">
        <v>313783</v>
      </c>
      <c r="H14" s="5">
        <v>3</v>
      </c>
      <c r="I14" s="7">
        <v>146810</v>
      </c>
      <c r="K14" s="5" t="s">
        <v>837</v>
      </c>
      <c r="L14" s="7">
        <v>140393</v>
      </c>
    </row>
    <row r="15" spans="1:12" x14ac:dyDescent="0.3">
      <c r="A15" s="5" t="s">
        <v>885</v>
      </c>
      <c r="B15" s="7">
        <v>114476</v>
      </c>
      <c r="D15" s="5" t="s">
        <v>701</v>
      </c>
      <c r="E15" s="7">
        <v>574682</v>
      </c>
      <c r="H15" s="5">
        <v>4</v>
      </c>
      <c r="I15" s="7">
        <v>114700</v>
      </c>
      <c r="K15" s="5" t="s">
        <v>840</v>
      </c>
      <c r="L15" s="7">
        <v>150346</v>
      </c>
    </row>
    <row r="16" spans="1:12" x14ac:dyDescent="0.3">
      <c r="A16" s="5" t="s">
        <v>943</v>
      </c>
      <c r="B16" s="7">
        <v>542226</v>
      </c>
      <c r="D16" s="5" t="s">
        <v>794</v>
      </c>
      <c r="E16" s="7">
        <v>631585</v>
      </c>
      <c r="H16" s="5">
        <v>5</v>
      </c>
      <c r="I16" s="7">
        <v>156198</v>
      </c>
      <c r="K16" s="5" t="s">
        <v>841</v>
      </c>
      <c r="L16" s="7">
        <v>157913</v>
      </c>
    </row>
    <row r="17" spans="1:12" x14ac:dyDescent="0.3">
      <c r="D17" s="5" t="s">
        <v>620</v>
      </c>
      <c r="E17" s="7">
        <v>331930</v>
      </c>
      <c r="H17" s="5">
        <v>6</v>
      </c>
      <c r="I17" s="7">
        <v>177211</v>
      </c>
      <c r="K17" s="5" t="s">
        <v>839</v>
      </c>
      <c r="L17" s="7">
        <v>135826</v>
      </c>
    </row>
    <row r="18" spans="1:12" x14ac:dyDescent="0.3">
      <c r="D18" s="5" t="s">
        <v>943</v>
      </c>
      <c r="E18" s="7">
        <v>3520984</v>
      </c>
      <c r="H18" s="5">
        <v>7</v>
      </c>
      <c r="I18" s="7">
        <v>147749</v>
      </c>
      <c r="K18" s="5" t="s">
        <v>795</v>
      </c>
      <c r="L18" s="7">
        <v>737389</v>
      </c>
    </row>
    <row r="19" spans="1:12" x14ac:dyDescent="0.3">
      <c r="H19" s="5">
        <v>8</v>
      </c>
      <c r="I19" s="7">
        <v>133617</v>
      </c>
      <c r="K19" s="5" t="s">
        <v>843</v>
      </c>
      <c r="L19" s="7">
        <v>136938</v>
      </c>
    </row>
    <row r="20" spans="1:12" x14ac:dyDescent="0.3">
      <c r="H20" s="5">
        <v>9</v>
      </c>
      <c r="I20" s="7">
        <v>153678</v>
      </c>
      <c r="K20" s="5" t="s">
        <v>845</v>
      </c>
      <c r="L20" s="7">
        <v>151619</v>
      </c>
    </row>
    <row r="21" spans="1:12" x14ac:dyDescent="0.3">
      <c r="A21" s="11" t="s">
        <v>951</v>
      </c>
      <c r="B21" s="11"/>
      <c r="D21" s="11" t="s">
        <v>952</v>
      </c>
      <c r="E21" s="11"/>
      <c r="H21" s="5">
        <v>10</v>
      </c>
      <c r="I21" s="7">
        <v>94985</v>
      </c>
      <c r="K21" s="5" t="s">
        <v>822</v>
      </c>
      <c r="L21" s="7">
        <v>449169</v>
      </c>
    </row>
    <row r="22" spans="1:12" x14ac:dyDescent="0.3">
      <c r="A22" s="4" t="s">
        <v>942</v>
      </c>
      <c r="B22" t="s">
        <v>947</v>
      </c>
      <c r="D22" s="4" t="s">
        <v>942</v>
      </c>
      <c r="E22" t="s">
        <v>944</v>
      </c>
      <c r="H22" s="5">
        <v>11</v>
      </c>
      <c r="I22" s="7">
        <v>130287</v>
      </c>
      <c r="K22" s="5" t="s">
        <v>836</v>
      </c>
      <c r="L22" s="7">
        <v>149591</v>
      </c>
    </row>
    <row r="23" spans="1:12" x14ac:dyDescent="0.3">
      <c r="A23" s="5" t="s">
        <v>218</v>
      </c>
      <c r="B23" s="8">
        <v>18</v>
      </c>
      <c r="D23" s="5" t="s">
        <v>869</v>
      </c>
      <c r="E23" s="7">
        <v>329862</v>
      </c>
      <c r="H23" s="5">
        <v>12</v>
      </c>
      <c r="I23" s="7">
        <v>162394</v>
      </c>
      <c r="K23" s="5" t="s">
        <v>943</v>
      </c>
      <c r="L23" s="7">
        <v>3520984</v>
      </c>
    </row>
    <row r="24" spans="1:12" x14ac:dyDescent="0.3">
      <c r="A24" s="5" t="s">
        <v>152</v>
      </c>
      <c r="B24" s="8">
        <v>21</v>
      </c>
      <c r="D24" s="5" t="s">
        <v>864</v>
      </c>
      <c r="E24" s="7">
        <v>1005645</v>
      </c>
      <c r="H24" s="5">
        <v>13</v>
      </c>
      <c r="I24" s="7">
        <v>152340</v>
      </c>
    </row>
    <row r="25" spans="1:12" x14ac:dyDescent="0.3">
      <c r="A25" s="5" t="s">
        <v>32</v>
      </c>
      <c r="B25" s="8">
        <v>18</v>
      </c>
      <c r="D25" s="5" t="s">
        <v>875</v>
      </c>
      <c r="E25" s="7">
        <v>201151</v>
      </c>
      <c r="H25" s="5">
        <v>14</v>
      </c>
      <c r="I25" s="7">
        <v>126406</v>
      </c>
    </row>
    <row r="26" spans="1:12" x14ac:dyDescent="0.3">
      <c r="A26" s="5" t="s">
        <v>324</v>
      </c>
      <c r="B26" s="8">
        <v>28</v>
      </c>
      <c r="D26" s="5" t="s">
        <v>862</v>
      </c>
      <c r="E26" s="7">
        <v>212281</v>
      </c>
      <c r="H26" s="5">
        <v>15</v>
      </c>
      <c r="I26" s="7">
        <v>163586</v>
      </c>
    </row>
    <row r="27" spans="1:12" x14ac:dyDescent="0.3">
      <c r="A27" s="5" t="s">
        <v>230</v>
      </c>
      <c r="B27" s="8">
        <v>21</v>
      </c>
      <c r="D27" s="5" t="s">
        <v>794</v>
      </c>
      <c r="E27" s="7">
        <v>297372</v>
      </c>
      <c r="H27" s="5">
        <v>16</v>
      </c>
      <c r="I27" s="7">
        <v>128797</v>
      </c>
    </row>
    <row r="28" spans="1:12" x14ac:dyDescent="0.3">
      <c r="A28" s="5" t="s">
        <v>301</v>
      </c>
      <c r="B28" s="8">
        <v>20</v>
      </c>
      <c r="D28" s="5" t="s">
        <v>860</v>
      </c>
      <c r="E28" s="7">
        <v>740831</v>
      </c>
      <c r="H28" s="5">
        <v>17</v>
      </c>
      <c r="I28" s="7">
        <v>155373</v>
      </c>
    </row>
    <row r="29" spans="1:12" x14ac:dyDescent="0.3">
      <c r="A29" s="5" t="s">
        <v>188</v>
      </c>
      <c r="B29" s="8">
        <v>24</v>
      </c>
      <c r="D29" s="5" t="s">
        <v>866</v>
      </c>
      <c r="E29" s="7">
        <v>733842</v>
      </c>
      <c r="H29" s="5">
        <v>18</v>
      </c>
      <c r="I29" s="7">
        <v>173118</v>
      </c>
    </row>
    <row r="30" spans="1:12" x14ac:dyDescent="0.3">
      <c r="A30" s="5" t="s">
        <v>307</v>
      </c>
      <c r="B30" s="8">
        <v>29</v>
      </c>
      <c r="D30" s="5" t="s">
        <v>943</v>
      </c>
      <c r="E30" s="7">
        <v>3520984</v>
      </c>
      <c r="H30" s="5">
        <v>19</v>
      </c>
      <c r="I30" s="7">
        <v>185771</v>
      </c>
    </row>
    <row r="31" spans="1:12" x14ac:dyDescent="0.3">
      <c r="A31" s="5" t="s">
        <v>158</v>
      </c>
      <c r="B31" s="8">
        <v>27</v>
      </c>
      <c r="H31" s="5">
        <v>20</v>
      </c>
      <c r="I31" s="7">
        <v>186426</v>
      </c>
    </row>
    <row r="32" spans="1:12" x14ac:dyDescent="0.3">
      <c r="A32" s="5" t="s">
        <v>397</v>
      </c>
      <c r="B32" s="8">
        <v>19</v>
      </c>
      <c r="H32" s="5">
        <v>21</v>
      </c>
      <c r="I32" s="7">
        <v>155466</v>
      </c>
    </row>
    <row r="33" spans="1:9" x14ac:dyDescent="0.3">
      <c r="A33" s="5" t="s">
        <v>943</v>
      </c>
      <c r="B33" s="8">
        <v>225</v>
      </c>
      <c r="H33" s="5">
        <v>22</v>
      </c>
      <c r="I33" s="7">
        <v>125912</v>
      </c>
    </row>
    <row r="34" spans="1:9" x14ac:dyDescent="0.3">
      <c r="H34" s="5">
        <v>23</v>
      </c>
      <c r="I34" s="7">
        <v>168511</v>
      </c>
    </row>
    <row r="35" spans="1:9" x14ac:dyDescent="0.3">
      <c r="H35" s="5" t="s">
        <v>943</v>
      </c>
      <c r="I35" s="7">
        <v>3520984</v>
      </c>
    </row>
  </sheetData>
  <mergeCells count="7">
    <mergeCell ref="K9:L9"/>
    <mergeCell ref="A9:B9"/>
    <mergeCell ref="A3:D3"/>
    <mergeCell ref="D21:E21"/>
    <mergeCell ref="D9:E9"/>
    <mergeCell ref="A21:B21"/>
    <mergeCell ref="H9:I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7195-ADFE-48C5-B920-51D1AA662A59}">
  <dimension ref="A1:AD49"/>
  <sheetViews>
    <sheetView showGridLines="0" zoomScale="55" zoomScaleNormal="100" workbookViewId="0">
      <selection activeCell="AH20" sqref="AH20"/>
    </sheetView>
  </sheetViews>
  <sheetFormatPr defaultRowHeight="14.4" x14ac:dyDescent="0.3"/>
  <sheetData>
    <row r="1" spans="1:3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1:3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1:3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1:3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C040-026D-40F3-9AF9-3C386531335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12.77734375" bestFit="1" customWidth="1"/>
  </cols>
  <sheetData>
    <row r="1" spans="1:6" x14ac:dyDescent="0.3">
      <c r="A1" t="s">
        <v>0</v>
      </c>
      <c r="B1" t="s">
        <v>1</v>
      </c>
      <c r="C1" t="s">
        <v>2</v>
      </c>
      <c r="D1" t="s">
        <v>3</v>
      </c>
      <c r="E1" t="s">
        <v>4</v>
      </c>
      <c r="F1" t="s">
        <v>5</v>
      </c>
    </row>
    <row r="2" spans="1:6" x14ac:dyDescent="0.3">
      <c r="A2" t="s">
        <v>6</v>
      </c>
      <c r="B2" t="s">
        <v>7</v>
      </c>
      <c r="C2" s="1">
        <v>46063.511981404321</v>
      </c>
      <c r="D2" s="1">
        <v>46063.389423456792</v>
      </c>
      <c r="E2" s="1">
        <v>46063.511981404321</v>
      </c>
      <c r="F2" t="s">
        <v>8</v>
      </c>
    </row>
    <row r="3" spans="1:6" x14ac:dyDescent="0.3">
      <c r="A3" t="s">
        <v>9</v>
      </c>
      <c r="B3" t="s">
        <v>7</v>
      </c>
      <c r="C3" s="1">
        <v>46063.511981404321</v>
      </c>
      <c r="D3" s="1">
        <v>46063.39160412809</v>
      </c>
      <c r="E3" s="1">
        <v>46063.511981404321</v>
      </c>
      <c r="F3" t="s">
        <v>8</v>
      </c>
    </row>
    <row r="4" spans="1:6" x14ac:dyDescent="0.3">
      <c r="A4" t="s">
        <v>10</v>
      </c>
      <c r="B4" t="s">
        <v>7</v>
      </c>
      <c r="C4" s="1">
        <v>46063.511981404321</v>
      </c>
      <c r="D4" s="1">
        <v>46063.391674344137</v>
      </c>
      <c r="E4" s="1">
        <v>46063.511981404321</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355BB-D1CD-48E7-B39B-70C9CFE33536}">
  <dimension ref="A1:G101"/>
  <sheetViews>
    <sheetView workbookViewId="0">
      <selection activeCell="I9" sqref="I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50FD-C05E-4DEB-8606-9C25493F9804}">
  <dimension ref="A1:Q1001"/>
  <sheetViews>
    <sheetView topLeftCell="J915" workbookViewId="0">
      <selection activeCell="Q2" sqref="Q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3.5546875" bestFit="1" customWidth="1"/>
    <col min="14" max="14" width="16.109375" bestFit="1" customWidth="1"/>
    <col min="15" max="15" width="20.33203125" bestFit="1" customWidth="1"/>
    <col min="16" max="16" width="10.109375" bestFit="1" customWidth="1"/>
    <col min="17" max="17" width="13.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934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D918-275C-4DE4-A5E4-26FF595365F9}">
  <dimension ref="A1:E71"/>
  <sheetViews>
    <sheetView tabSelected="1" workbookViewId="0">
      <selection activeCell="G21" sqref="G2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858</v>
      </c>
      <c r="E1" t="s">
        <v>613</v>
      </c>
    </row>
    <row r="2" spans="1:5" x14ac:dyDescent="0.3">
      <c r="A2">
        <v>1</v>
      </c>
      <c r="B2" t="s">
        <v>859</v>
      </c>
      <c r="C2" t="s">
        <v>860</v>
      </c>
      <c r="D2">
        <v>1935</v>
      </c>
      <c r="E2" t="s">
        <v>699</v>
      </c>
    </row>
    <row r="3" spans="1:5" x14ac:dyDescent="0.3">
      <c r="A3">
        <v>2</v>
      </c>
      <c r="B3" t="s">
        <v>861</v>
      </c>
      <c r="C3" t="s">
        <v>862</v>
      </c>
      <c r="D3">
        <v>441</v>
      </c>
      <c r="E3" t="s">
        <v>620</v>
      </c>
    </row>
    <row r="4" spans="1:5" x14ac:dyDescent="0.3">
      <c r="A4">
        <v>3</v>
      </c>
      <c r="B4" t="s">
        <v>863</v>
      </c>
      <c r="C4" t="s">
        <v>864</v>
      </c>
      <c r="D4">
        <v>1534</v>
      </c>
      <c r="E4" t="s">
        <v>620</v>
      </c>
    </row>
    <row r="5" spans="1:5" x14ac:dyDescent="0.3">
      <c r="A5">
        <v>4</v>
      </c>
      <c r="B5" t="s">
        <v>865</v>
      </c>
      <c r="C5" t="s">
        <v>866</v>
      </c>
      <c r="D5">
        <v>1199</v>
      </c>
      <c r="E5" t="s">
        <v>829</v>
      </c>
    </row>
    <row r="6" spans="1:5" x14ac:dyDescent="0.3">
      <c r="A6">
        <v>5</v>
      </c>
      <c r="B6" t="s">
        <v>867</v>
      </c>
      <c r="C6" t="s">
        <v>864</v>
      </c>
      <c r="D6">
        <v>1444</v>
      </c>
      <c r="E6" t="s">
        <v>699</v>
      </c>
    </row>
    <row r="7" spans="1:5" x14ac:dyDescent="0.3">
      <c r="A7">
        <v>6</v>
      </c>
      <c r="B7" t="s">
        <v>868</v>
      </c>
      <c r="C7" t="s">
        <v>869</v>
      </c>
      <c r="D7">
        <v>1112</v>
      </c>
      <c r="E7" t="s">
        <v>701</v>
      </c>
    </row>
    <row r="8" spans="1:5" x14ac:dyDescent="0.3">
      <c r="A8">
        <v>7</v>
      </c>
      <c r="B8" t="s">
        <v>870</v>
      </c>
      <c r="C8" t="s">
        <v>860</v>
      </c>
      <c r="D8">
        <v>409</v>
      </c>
      <c r="E8" t="s">
        <v>701</v>
      </c>
    </row>
    <row r="9" spans="1:5" x14ac:dyDescent="0.3">
      <c r="A9">
        <v>8</v>
      </c>
      <c r="B9" t="s">
        <v>871</v>
      </c>
      <c r="C9" t="s">
        <v>866</v>
      </c>
      <c r="D9">
        <v>252</v>
      </c>
      <c r="E9" t="s">
        <v>698</v>
      </c>
    </row>
    <row r="10" spans="1:5" x14ac:dyDescent="0.3">
      <c r="A10">
        <v>9</v>
      </c>
      <c r="B10" t="s">
        <v>872</v>
      </c>
      <c r="C10" t="s">
        <v>864</v>
      </c>
      <c r="D10">
        <v>1605</v>
      </c>
      <c r="E10" t="s">
        <v>794</v>
      </c>
    </row>
    <row r="11" spans="1:5" x14ac:dyDescent="0.3">
      <c r="A11">
        <v>10</v>
      </c>
      <c r="B11" t="s">
        <v>873</v>
      </c>
      <c r="C11" t="s">
        <v>869</v>
      </c>
      <c r="D11">
        <v>259</v>
      </c>
      <c r="E11" t="s">
        <v>707</v>
      </c>
    </row>
    <row r="12" spans="1:5" x14ac:dyDescent="0.3">
      <c r="A12">
        <v>11</v>
      </c>
      <c r="B12" t="s">
        <v>874</v>
      </c>
      <c r="C12" t="s">
        <v>875</v>
      </c>
      <c r="D12">
        <v>1096</v>
      </c>
      <c r="E12" t="s">
        <v>620</v>
      </c>
    </row>
    <row r="13" spans="1:5" x14ac:dyDescent="0.3">
      <c r="A13">
        <v>12</v>
      </c>
      <c r="B13" t="s">
        <v>876</v>
      </c>
      <c r="C13" t="s">
        <v>862</v>
      </c>
      <c r="D13">
        <v>672</v>
      </c>
      <c r="E13" t="s">
        <v>698</v>
      </c>
    </row>
    <row r="14" spans="1:5" x14ac:dyDescent="0.3">
      <c r="A14">
        <v>13</v>
      </c>
      <c r="B14" t="s">
        <v>877</v>
      </c>
      <c r="C14" t="s">
        <v>875</v>
      </c>
      <c r="D14">
        <v>1141</v>
      </c>
      <c r="E14" t="s">
        <v>701</v>
      </c>
    </row>
    <row r="15" spans="1:5" x14ac:dyDescent="0.3">
      <c r="A15">
        <v>14</v>
      </c>
      <c r="B15" t="s">
        <v>878</v>
      </c>
      <c r="C15" t="s">
        <v>864</v>
      </c>
      <c r="D15">
        <v>1915</v>
      </c>
      <c r="E15" t="s">
        <v>707</v>
      </c>
    </row>
    <row r="16" spans="1:5"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316E14C6-54EA-4BEF-95E2-BC9B34E80577}">
  <ds:schemaRefs/>
</ds:datastoreItem>
</file>

<file path=customXml/itemProps2.xml><?xml version="1.0" encoding="utf-8"?>
<ds:datastoreItem xmlns:ds="http://schemas.openxmlformats.org/officeDocument/2006/customXml" ds:itemID="{5386FD10-B6C8-4835-8B00-80DEE59CD836}">
  <ds:schemaRefs>
    <ds:schemaRef ds:uri="http://schemas.microsoft.com/DataMashup"/>
  </ds:schemaRefs>
</ds:datastoreItem>
</file>

<file path=customXml/itemProps3.xml><?xml version="1.0" encoding="utf-8"?>
<ds:datastoreItem xmlns:ds="http://schemas.openxmlformats.org/officeDocument/2006/customXml" ds:itemID="{7BA3AC07-531C-4A4C-A728-A7E82C4608F8}">
  <ds:schemaRefs/>
</ds:datastoreItem>
</file>

<file path=customXml/itemProps4.xml><?xml version="1.0" encoding="utf-8"?>
<ds:datastoreItem xmlns:ds="http://schemas.openxmlformats.org/officeDocument/2006/customXml" ds:itemID="{B0BF6249-F6A6-440C-95ED-9916A4412A66}">
  <ds:schemaRefs/>
</ds:datastoreItem>
</file>

<file path=customXml/itemProps5.xml><?xml version="1.0" encoding="utf-8"?>
<ds:datastoreItem xmlns:ds="http://schemas.openxmlformats.org/officeDocument/2006/customXml" ds:itemID="{3B0C211B-9E92-4CE2-99FF-9394F242B0C1}">
  <ds:schemaRefs/>
</ds:datastoreItem>
</file>

<file path=customXml/itemProps6.xml><?xml version="1.0" encoding="utf-8"?>
<ds:datastoreItem xmlns:ds="http://schemas.openxmlformats.org/officeDocument/2006/customXml" ds:itemID="{508D40C9-DC43-433A-BDD2-51E64CD95BBB}">
  <ds:schemaRefs/>
</ds:datastoreItem>
</file>

<file path=customXml/itemProps7.xml><?xml version="1.0" encoding="utf-8"?>
<ds:datastoreItem xmlns:ds="http://schemas.openxmlformats.org/officeDocument/2006/customXml" ds:itemID="{E7A62B96-292D-4EF4-B648-7EC1ED327DE9}">
  <ds:schemaRefs/>
</ds:datastoreItem>
</file>

<file path=customXml/itemProps8.xml><?xml version="1.0" encoding="utf-8"?>
<ds:datastoreItem xmlns:ds="http://schemas.openxmlformats.org/officeDocument/2006/customXml" ds:itemID="{66D9F88A-C986-4129-AF58-0E21D20FDF7C}">
  <ds:schemaRefs/>
</ds:datastoreItem>
</file>

<file path=customXml/itemProps9.xml><?xml version="1.0" encoding="utf-8"?>
<ds:datastoreItem xmlns:ds="http://schemas.openxmlformats.org/officeDocument/2006/customXml" ds:itemID="{418C5648-0E80-4994-8CE0-4EAB61A708EB}">
  <ds:schemaRefs/>
</ds:datastoreItem>
</file>

<file path=customXml/itemProps10.xml><?xml version="1.0" encoding="utf-8"?>
<ds:datastoreItem xmlns:ds="http://schemas.openxmlformats.org/officeDocument/2006/customXml" ds:itemID="{022E54C3-B53F-47E0-9DCD-DA5EDAF754A8}">
  <ds:schemaRefs/>
</ds:datastoreItem>
</file>

<file path=customXml/itemProps11.xml><?xml version="1.0" encoding="utf-8"?>
<ds:datastoreItem xmlns:ds="http://schemas.openxmlformats.org/officeDocument/2006/customXml" ds:itemID="{95501115-5C02-498A-821A-F05B37337370}">
  <ds:schemaRefs/>
</ds:datastoreItem>
</file>

<file path=customXml/itemProps12.xml><?xml version="1.0" encoding="utf-8"?>
<ds:datastoreItem xmlns:ds="http://schemas.openxmlformats.org/officeDocument/2006/customXml" ds:itemID="{94CA182B-4ECC-4D1D-89CA-060F5590FEC4}">
  <ds:schemaRefs/>
</ds:datastoreItem>
</file>

<file path=customXml/itemProps13.xml><?xml version="1.0" encoding="utf-8"?>
<ds:datastoreItem xmlns:ds="http://schemas.openxmlformats.org/officeDocument/2006/customXml" ds:itemID="{11A24C61-4A40-4915-B437-3CB327C937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data1</vt:lpstr>
      <vt:lpstr>customer</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shushar u kulal</dc:creator>
  <cp:lastModifiedBy>shushar u kulal</cp:lastModifiedBy>
  <dcterms:created xsi:type="dcterms:W3CDTF">2026-02-10T06:42:25Z</dcterms:created>
  <dcterms:modified xsi:type="dcterms:W3CDTF">2026-02-16T16:06:27Z</dcterms:modified>
</cp:coreProperties>
</file>